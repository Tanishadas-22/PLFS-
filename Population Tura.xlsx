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SU\Documents\PLFS 2023-24\"/>
    </mc:Choice>
  </mc:AlternateContent>
  <bookViews>
    <workbookView xWindow="0" yWindow="0" windowWidth="28800" windowHeight="11700" firstSheet="3" activeTab="11"/>
  </bookViews>
  <sheets>
    <sheet name="Popu_data" sheetId="1" r:id="rId1"/>
    <sheet name="About the data" sheetId="14" r:id="rId2"/>
    <sheet name="Exercise" sheetId="15" r:id="rId3"/>
    <sheet name="SRSWR" sheetId="3" r:id="rId4"/>
    <sheet name="Rand_no__SRSWOR" sheetId="10" r:id="rId5"/>
    <sheet name="SRSWOR" sheetId="2" r:id="rId6"/>
    <sheet name="Lin_Sys" sheetId="4" r:id="rId7"/>
    <sheet name="Cir_Sys" sheetId="5" r:id="rId8"/>
    <sheet name="Stratum_info" sheetId="11" r:id="rId9"/>
    <sheet name="Exp_Stratified" sheetId="6" r:id="rId10"/>
    <sheet name="sortedby_social_group" sheetId="12" r:id="rId11"/>
    <sheet name="Imp_Stratification" sheetId="16" r:id="rId12"/>
  </sheets>
  <definedNames>
    <definedName name="_xlnm._FilterDatabase" localSheetId="0" hidden="1">Popu_data!$C$1:$G$254</definedName>
    <definedName name="_xlnm._FilterDatabase" localSheetId="10" hidden="1">sortedby_social_group!$A$1:$G$254</definedName>
    <definedName name="_xlnm._FilterDatabase" localSheetId="3" hidden="1">SRSWR!$A$1:$I$26</definedName>
    <definedName name="_xlnm._FilterDatabase" localSheetId="8" hidden="1">Stratum_info!$A$1:$J$254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6" l="1"/>
  <c r="J33" i="6"/>
  <c r="J34" i="6"/>
  <c r="J35" i="6"/>
  <c r="Q6" i="6"/>
  <c r="I33" i="6"/>
  <c r="I34" i="6"/>
  <c r="I35" i="6"/>
  <c r="I32" i="6"/>
  <c r="I36" i="6" s="1"/>
  <c r="H33" i="6"/>
  <c r="H34" i="6"/>
  <c r="H35" i="6"/>
  <c r="H32" i="6"/>
  <c r="H36" i="6" s="1"/>
  <c r="G33" i="6"/>
  <c r="G34" i="6"/>
  <c r="G35" i="6"/>
  <c r="G32" i="6"/>
  <c r="G36" i="6" s="1"/>
  <c r="F33" i="6"/>
  <c r="F34" i="6"/>
  <c r="F35" i="6"/>
  <c r="F32" i="6"/>
  <c r="F36" i="6" s="1"/>
  <c r="E33" i="6"/>
  <c r="E34" i="6"/>
  <c r="E35" i="6"/>
  <c r="E32" i="6"/>
  <c r="E36" i="6" s="1"/>
  <c r="D36" i="6"/>
  <c r="C36" i="6"/>
  <c r="K38" i="16"/>
  <c r="J38" i="16"/>
  <c r="I38" i="16"/>
  <c r="H38" i="16"/>
  <c r="G38" i="16"/>
  <c r="F38" i="16"/>
  <c r="J36" i="6" l="1"/>
  <c r="I248" i="1"/>
  <c r="G32" i="2"/>
  <c r="D32" i="2"/>
  <c r="C32" i="2"/>
  <c r="B32" i="2"/>
  <c r="F21" i="14"/>
  <c r="F32" i="2"/>
  <c r="E32" i="2" l="1"/>
  <c r="D11" i="5"/>
  <c r="D2" i="5"/>
  <c r="H254" i="11" l="1"/>
  <c r="I254" i="11" s="1"/>
  <c r="H253" i="11"/>
  <c r="I253" i="11" s="1"/>
  <c r="H252" i="11"/>
  <c r="I252" i="11" s="1"/>
  <c r="H251" i="11"/>
  <c r="I251" i="11" s="1"/>
  <c r="H250" i="11"/>
  <c r="I250" i="11" s="1"/>
  <c r="H249" i="11"/>
  <c r="I249" i="11" s="1"/>
  <c r="H248" i="11"/>
  <c r="H247" i="11"/>
  <c r="I247" i="11" s="1"/>
  <c r="H246" i="11"/>
  <c r="I246" i="11" s="1"/>
  <c r="H245" i="11"/>
  <c r="I245" i="11" s="1"/>
  <c r="H244" i="11"/>
  <c r="H243" i="11"/>
  <c r="I243" i="11" s="1"/>
  <c r="H242" i="11"/>
  <c r="I242" i="11" s="1"/>
  <c r="H241" i="11"/>
  <c r="I241" i="11" s="1"/>
  <c r="H240" i="11"/>
  <c r="I240" i="11" s="1"/>
  <c r="H239" i="11"/>
  <c r="I239" i="11" s="1"/>
  <c r="H238" i="11"/>
  <c r="I238" i="11" s="1"/>
  <c r="H237" i="11"/>
  <c r="I237" i="11" s="1"/>
  <c r="H236" i="11"/>
  <c r="I236" i="11" s="1"/>
  <c r="H235" i="11"/>
  <c r="I235" i="11" s="1"/>
  <c r="H234" i="11"/>
  <c r="I234" i="11" s="1"/>
  <c r="H233" i="11"/>
  <c r="I233" i="11" s="1"/>
  <c r="H232" i="11"/>
  <c r="I232" i="11" s="1"/>
  <c r="H231" i="11"/>
  <c r="I231" i="11" s="1"/>
  <c r="H230" i="11"/>
  <c r="I230" i="11" s="1"/>
  <c r="H229" i="11"/>
  <c r="I229" i="11" s="1"/>
  <c r="H228" i="11"/>
  <c r="I228" i="11" s="1"/>
  <c r="H227" i="11"/>
  <c r="H226" i="11"/>
  <c r="I226" i="11" s="1"/>
  <c r="H225" i="11"/>
  <c r="I225" i="11" s="1"/>
  <c r="H224" i="11"/>
  <c r="I224" i="11" s="1"/>
  <c r="H223" i="11"/>
  <c r="I223" i="11" s="1"/>
  <c r="H222" i="11"/>
  <c r="I222" i="11" s="1"/>
  <c r="H221" i="11"/>
  <c r="H220" i="11"/>
  <c r="I220" i="11" s="1"/>
  <c r="H219" i="11"/>
  <c r="I219" i="11" s="1"/>
  <c r="H218" i="11"/>
  <c r="I218" i="11" s="1"/>
  <c r="H217" i="11"/>
  <c r="I217" i="11" s="1"/>
  <c r="H216" i="11"/>
  <c r="I216" i="11" s="1"/>
  <c r="H215" i="11"/>
  <c r="I215" i="11" s="1"/>
  <c r="H214" i="11"/>
  <c r="H213" i="11"/>
  <c r="I213" i="11" s="1"/>
  <c r="H212" i="11"/>
  <c r="I212" i="11" s="1"/>
  <c r="H211" i="11"/>
  <c r="I211" i="11" s="1"/>
  <c r="H210" i="11"/>
  <c r="I210" i="11" s="1"/>
  <c r="H209" i="11"/>
  <c r="I209" i="11" s="1"/>
  <c r="H208" i="11"/>
  <c r="I208" i="11" s="1"/>
  <c r="H207" i="11"/>
  <c r="I207" i="11" s="1"/>
  <c r="H206" i="11"/>
  <c r="I206" i="11" s="1"/>
  <c r="H205" i="11"/>
  <c r="I205" i="11" s="1"/>
  <c r="H204" i="11"/>
  <c r="I204" i="11" s="1"/>
  <c r="H203" i="11"/>
  <c r="I203" i="11" s="1"/>
  <c r="H202" i="11"/>
  <c r="I202" i="11" s="1"/>
  <c r="H201" i="11"/>
  <c r="I201" i="11" s="1"/>
  <c r="H200" i="11"/>
  <c r="I200" i="11" s="1"/>
  <c r="H199" i="11"/>
  <c r="I199" i="11" s="1"/>
  <c r="H198" i="11"/>
  <c r="H197" i="11"/>
  <c r="I197" i="11" s="1"/>
  <c r="H196" i="11"/>
  <c r="I196" i="11" s="1"/>
  <c r="H195" i="11"/>
  <c r="I195" i="11" s="1"/>
  <c r="H194" i="11"/>
  <c r="I194" i="11" s="1"/>
  <c r="H193" i="11"/>
  <c r="I193" i="11" s="1"/>
  <c r="H192" i="11"/>
  <c r="I192" i="11" s="1"/>
  <c r="H191" i="11"/>
  <c r="I191" i="11" s="1"/>
  <c r="H190" i="11"/>
  <c r="I190" i="11" s="1"/>
  <c r="H189" i="11"/>
  <c r="I189" i="11" s="1"/>
  <c r="H188" i="11"/>
  <c r="I188" i="11" s="1"/>
  <c r="H187" i="11"/>
  <c r="I187" i="11" s="1"/>
  <c r="H186" i="11"/>
  <c r="I186" i="11" s="1"/>
  <c r="H185" i="11"/>
  <c r="I185" i="11" s="1"/>
  <c r="H184" i="11"/>
  <c r="I184" i="11" s="1"/>
  <c r="H183" i="11"/>
  <c r="I183" i="11" s="1"/>
  <c r="H182" i="11"/>
  <c r="I182" i="11" s="1"/>
  <c r="H181" i="11"/>
  <c r="I181" i="11" s="1"/>
  <c r="H180" i="11"/>
  <c r="I180" i="11" s="1"/>
  <c r="H179" i="11"/>
  <c r="H178" i="11"/>
  <c r="I178" i="11" s="1"/>
  <c r="H177" i="11"/>
  <c r="I177" i="11" s="1"/>
  <c r="H176" i="11"/>
  <c r="I176" i="11" s="1"/>
  <c r="H175" i="11"/>
  <c r="I175" i="11" s="1"/>
  <c r="H174" i="11"/>
  <c r="H173" i="11"/>
  <c r="H172" i="11"/>
  <c r="I172" i="11" s="1"/>
  <c r="H171" i="11"/>
  <c r="I171" i="11" s="1"/>
  <c r="H170" i="11"/>
  <c r="I170" i="11" s="1"/>
  <c r="H169" i="11"/>
  <c r="I169" i="11" s="1"/>
  <c r="H168" i="11"/>
  <c r="I168" i="11" s="1"/>
  <c r="H167" i="11"/>
  <c r="I167" i="11" s="1"/>
  <c r="H166" i="11"/>
  <c r="I166" i="11" s="1"/>
  <c r="H165" i="11"/>
  <c r="I165" i="11" s="1"/>
  <c r="H164" i="11"/>
  <c r="I164" i="11" s="1"/>
  <c r="H163" i="11"/>
  <c r="I163" i="11" s="1"/>
  <c r="H162" i="11"/>
  <c r="I162" i="11" s="1"/>
  <c r="H161" i="11"/>
  <c r="I161" i="11" s="1"/>
  <c r="H160" i="11"/>
  <c r="H159" i="11"/>
  <c r="I159" i="11" s="1"/>
  <c r="H158" i="11"/>
  <c r="I158" i="11" s="1"/>
  <c r="H157" i="11"/>
  <c r="I157" i="11" s="1"/>
  <c r="H156" i="11"/>
  <c r="I156" i="11" s="1"/>
  <c r="H155" i="11"/>
  <c r="I155" i="11" s="1"/>
  <c r="H154" i="11"/>
  <c r="I154" i="11" s="1"/>
  <c r="H153" i="11"/>
  <c r="I153" i="11" s="1"/>
  <c r="H152" i="11"/>
  <c r="H151" i="11"/>
  <c r="I151" i="11" s="1"/>
  <c r="H150" i="11"/>
  <c r="I150" i="11" s="1"/>
  <c r="H149" i="11"/>
  <c r="I149" i="11" s="1"/>
  <c r="H148" i="11"/>
  <c r="I148" i="11" s="1"/>
  <c r="H147" i="11"/>
  <c r="I147" i="11" s="1"/>
  <c r="H146" i="11"/>
  <c r="I146" i="11" s="1"/>
  <c r="H145" i="11"/>
  <c r="H144" i="11"/>
  <c r="I144" i="11" s="1"/>
  <c r="H143" i="11"/>
  <c r="H142" i="11"/>
  <c r="I142" i="11" s="1"/>
  <c r="H141" i="11"/>
  <c r="I141" i="11" s="1"/>
  <c r="H140" i="11"/>
  <c r="I140" i="11" s="1"/>
  <c r="H139" i="11"/>
  <c r="I139" i="11" s="1"/>
  <c r="H138" i="11"/>
  <c r="H137" i="11"/>
  <c r="H136" i="11"/>
  <c r="I136" i="11" s="1"/>
  <c r="H135" i="11"/>
  <c r="I135" i="11" s="1"/>
  <c r="H134" i="11"/>
  <c r="H133" i="11"/>
  <c r="I133" i="11" s="1"/>
  <c r="H132" i="11"/>
  <c r="I132" i="11" s="1"/>
  <c r="H131" i="11"/>
  <c r="I131" i="11" s="1"/>
  <c r="H130" i="11"/>
  <c r="H129" i="11"/>
  <c r="I129" i="11" s="1"/>
  <c r="H128" i="11"/>
  <c r="I128" i="11" s="1"/>
  <c r="H127" i="11"/>
  <c r="I127" i="11" s="1"/>
  <c r="H126" i="11"/>
  <c r="I126" i="11" s="1"/>
  <c r="H125" i="11"/>
  <c r="I125" i="11" s="1"/>
  <c r="H124" i="11"/>
  <c r="I124" i="11" s="1"/>
  <c r="H123" i="11"/>
  <c r="I123" i="11" s="1"/>
  <c r="H122" i="11"/>
  <c r="I122" i="11" s="1"/>
  <c r="H121" i="11"/>
  <c r="I121" i="11" s="1"/>
  <c r="H120" i="11"/>
  <c r="H119" i="11"/>
  <c r="I119" i="11" s="1"/>
  <c r="H118" i="11"/>
  <c r="I118" i="11" s="1"/>
  <c r="H117" i="11"/>
  <c r="I117" i="11" s="1"/>
  <c r="H116" i="11"/>
  <c r="I116" i="11" s="1"/>
  <c r="H115" i="11"/>
  <c r="I115" i="11" s="1"/>
  <c r="H114" i="11"/>
  <c r="I114" i="11" s="1"/>
  <c r="H113" i="11"/>
  <c r="I113" i="11" s="1"/>
  <c r="H112" i="11"/>
  <c r="I112" i="11" s="1"/>
  <c r="H111" i="11"/>
  <c r="I111" i="11" s="1"/>
  <c r="H110" i="11"/>
  <c r="I110" i="11" s="1"/>
  <c r="H109" i="11"/>
  <c r="I109" i="11" s="1"/>
  <c r="H108" i="11"/>
  <c r="I108" i="11" s="1"/>
  <c r="H107" i="11"/>
  <c r="I107" i="11" s="1"/>
  <c r="H106" i="11"/>
  <c r="I106" i="11" s="1"/>
  <c r="H105" i="11"/>
  <c r="H104" i="11"/>
  <c r="H103" i="11"/>
  <c r="I103" i="11" s="1"/>
  <c r="H102" i="11"/>
  <c r="H101" i="11"/>
  <c r="I101" i="11" s="1"/>
  <c r="H100" i="11"/>
  <c r="H99" i="11"/>
  <c r="I99" i="11" s="1"/>
  <c r="H98" i="11"/>
  <c r="I98" i="11" s="1"/>
  <c r="H97" i="11"/>
  <c r="I97" i="11" s="1"/>
  <c r="H96" i="11"/>
  <c r="I96" i="11" s="1"/>
  <c r="H95" i="11"/>
  <c r="H94" i="11"/>
  <c r="I94" i="11" s="1"/>
  <c r="H93" i="11"/>
  <c r="I93" i="11" s="1"/>
  <c r="H92" i="11"/>
  <c r="I92" i="11" s="1"/>
  <c r="H91" i="11"/>
  <c r="I91" i="11" s="1"/>
  <c r="H90" i="11"/>
  <c r="I90" i="11" s="1"/>
  <c r="H89" i="11"/>
  <c r="I89" i="11" s="1"/>
  <c r="H88" i="11"/>
  <c r="H87" i="11"/>
  <c r="I87" i="11" s="1"/>
  <c r="H86" i="11"/>
  <c r="I86" i="11" s="1"/>
  <c r="H85" i="11"/>
  <c r="I85" i="11" s="1"/>
  <c r="H84" i="11"/>
  <c r="I84" i="11" s="1"/>
  <c r="H83" i="11"/>
  <c r="I83" i="11" s="1"/>
  <c r="H82" i="11"/>
  <c r="I82" i="11" s="1"/>
  <c r="H81" i="11"/>
  <c r="H80" i="11"/>
  <c r="H79" i="11"/>
  <c r="H78" i="11"/>
  <c r="I78" i="11" s="1"/>
  <c r="H77" i="11"/>
  <c r="H76" i="11"/>
  <c r="H75" i="11"/>
  <c r="I75" i="11" s="1"/>
  <c r="H74" i="11"/>
  <c r="H73" i="11"/>
  <c r="I73" i="11" s="1"/>
  <c r="H72" i="11"/>
  <c r="I72" i="11" s="1"/>
  <c r="H71" i="11"/>
  <c r="I71" i="11" s="1"/>
  <c r="H70" i="11"/>
  <c r="H69" i="11"/>
  <c r="I69" i="11" s="1"/>
  <c r="H68" i="11"/>
  <c r="I68" i="11" s="1"/>
  <c r="H67" i="11"/>
  <c r="I67" i="11" s="1"/>
  <c r="H66" i="11"/>
  <c r="I66" i="11" s="1"/>
  <c r="H65" i="11"/>
  <c r="I65" i="11" s="1"/>
  <c r="H64" i="11"/>
  <c r="I64" i="11" s="1"/>
  <c r="H63" i="11"/>
  <c r="I63" i="11" s="1"/>
  <c r="H62" i="11"/>
  <c r="I62" i="11" s="1"/>
  <c r="H61" i="11"/>
  <c r="I61" i="11" s="1"/>
  <c r="H60" i="11"/>
  <c r="I60" i="11" s="1"/>
  <c r="H59" i="11"/>
  <c r="I59" i="11" s="1"/>
  <c r="H58" i="11"/>
  <c r="I58" i="11" s="1"/>
  <c r="H57" i="11"/>
  <c r="I57" i="11" s="1"/>
  <c r="H56" i="11"/>
  <c r="I56" i="11" s="1"/>
  <c r="H55" i="11"/>
  <c r="I55" i="11" s="1"/>
  <c r="H54" i="11"/>
  <c r="H53" i="11"/>
  <c r="I53" i="11" s="1"/>
  <c r="H52" i="11"/>
  <c r="I52" i="11" s="1"/>
  <c r="H51" i="11"/>
  <c r="I51" i="11" s="1"/>
  <c r="H50" i="11"/>
  <c r="I50" i="11" s="1"/>
  <c r="H49" i="11"/>
  <c r="I49" i="11" s="1"/>
  <c r="H48" i="11"/>
  <c r="I48" i="11" s="1"/>
  <c r="H47" i="11"/>
  <c r="I47" i="11" s="1"/>
  <c r="H46" i="11"/>
  <c r="I46" i="11" s="1"/>
  <c r="H45" i="11"/>
  <c r="I45" i="11" s="1"/>
  <c r="H44" i="11"/>
  <c r="I44" i="11" s="1"/>
  <c r="H43" i="11"/>
  <c r="H42" i="11"/>
  <c r="I42" i="11" s="1"/>
  <c r="H41" i="11"/>
  <c r="I41" i="11" s="1"/>
  <c r="H40" i="11"/>
  <c r="I40" i="11" s="1"/>
  <c r="H39" i="11"/>
  <c r="I39" i="11" s="1"/>
  <c r="H38" i="11"/>
  <c r="I38" i="11" s="1"/>
  <c r="H37" i="11"/>
  <c r="I37" i="11" s="1"/>
  <c r="H36" i="11"/>
  <c r="I36" i="11" s="1"/>
  <c r="H35" i="11"/>
  <c r="I35" i="11" s="1"/>
  <c r="H34" i="11"/>
  <c r="I34" i="11" s="1"/>
  <c r="H33" i="11"/>
  <c r="I33" i="11" s="1"/>
  <c r="H32" i="11"/>
  <c r="I32" i="11" s="1"/>
  <c r="H31" i="11"/>
  <c r="I31" i="11" s="1"/>
  <c r="H30" i="11"/>
  <c r="I30" i="11" s="1"/>
  <c r="H29" i="11"/>
  <c r="I29" i="11" s="1"/>
  <c r="H28" i="11"/>
  <c r="I28" i="11" s="1"/>
  <c r="H27" i="11"/>
  <c r="I27" i="11" s="1"/>
  <c r="H26" i="11"/>
  <c r="I26" i="11" s="1"/>
  <c r="H25" i="11"/>
  <c r="I25" i="11" s="1"/>
  <c r="H24" i="11"/>
  <c r="I24" i="11" s="1"/>
  <c r="H23" i="11"/>
  <c r="I23" i="11" s="1"/>
  <c r="H22" i="11"/>
  <c r="I22" i="11" s="1"/>
  <c r="H21" i="11"/>
  <c r="I21" i="11" s="1"/>
  <c r="H20" i="11"/>
  <c r="I20" i="11" s="1"/>
  <c r="H19" i="11"/>
  <c r="I19" i="11" s="1"/>
  <c r="H18" i="11"/>
  <c r="I18" i="11" s="1"/>
  <c r="H17" i="11"/>
  <c r="I17" i="11" s="1"/>
  <c r="H16" i="11"/>
  <c r="I16" i="11" s="1"/>
  <c r="H15" i="11"/>
  <c r="I15" i="11" s="1"/>
  <c r="H14" i="11"/>
  <c r="I14" i="11" s="1"/>
  <c r="H13" i="11"/>
  <c r="I13" i="11" s="1"/>
  <c r="H12" i="11"/>
  <c r="I12" i="11" s="1"/>
  <c r="H11" i="11"/>
  <c r="H10" i="11"/>
  <c r="I10" i="11" s="1"/>
  <c r="H9" i="11"/>
  <c r="I9" i="11" s="1"/>
  <c r="H8" i="11"/>
  <c r="I8" i="11" s="1"/>
  <c r="H7" i="11"/>
  <c r="H6" i="11"/>
  <c r="I6" i="11" s="1"/>
  <c r="H5" i="11"/>
  <c r="I5" i="11" s="1"/>
  <c r="H4" i="11"/>
  <c r="I4" i="11" s="1"/>
  <c r="H3" i="11"/>
  <c r="I3" i="11" s="1"/>
  <c r="H2" i="11"/>
  <c r="I2" i="11" s="1"/>
  <c r="D3" i="5"/>
  <c r="I3" i="5" s="1" a="1"/>
  <c r="I3" i="5" s="1"/>
  <c r="D4" i="5"/>
  <c r="K4" i="5" s="1" a="1"/>
  <c r="K4" i="5" s="1"/>
  <c r="D5" i="5"/>
  <c r="F5" i="5" s="1" a="1"/>
  <c r="F5" i="5" s="1"/>
  <c r="D6" i="5"/>
  <c r="J6" i="5" s="1" a="1"/>
  <c r="J6" i="5" s="1"/>
  <c r="D7" i="5"/>
  <c r="F7" i="5" s="1" a="1"/>
  <c r="F7" i="5" s="1"/>
  <c r="D8" i="5"/>
  <c r="K8" i="5" s="1" a="1"/>
  <c r="K8" i="5" s="1"/>
  <c r="D9" i="5"/>
  <c r="F9" i="5" s="1" a="1"/>
  <c r="F9" i="5" s="1"/>
  <c r="D10" i="5"/>
  <c r="F10" i="5" s="1" a="1"/>
  <c r="F10" i="5" s="1"/>
  <c r="K11" i="5" a="1"/>
  <c r="K11" i="5" s="1"/>
  <c r="D12" i="5"/>
  <c r="F12" i="5" s="1" a="1"/>
  <c r="F12" i="5" s="1"/>
  <c r="D13" i="5"/>
  <c r="J13" i="5" s="1" a="1"/>
  <c r="J13" i="5" s="1"/>
  <c r="D14" i="5"/>
  <c r="K14" i="5" s="1" a="1"/>
  <c r="K14" i="5" s="1"/>
  <c r="D15" i="5"/>
  <c r="J15" i="5" s="1" a="1"/>
  <c r="J15" i="5" s="1"/>
  <c r="D16" i="5"/>
  <c r="K16" i="5" s="1" a="1"/>
  <c r="K16" i="5" s="1"/>
  <c r="D17" i="5"/>
  <c r="K17" i="5" s="1" a="1"/>
  <c r="K17" i="5" s="1"/>
  <c r="D18" i="5"/>
  <c r="J18" i="5" s="1" a="1"/>
  <c r="J18" i="5" s="1"/>
  <c r="D19" i="5"/>
  <c r="F19" i="5" s="1" a="1"/>
  <c r="F19" i="5" s="1"/>
  <c r="D20" i="5"/>
  <c r="J20" i="5" s="1" a="1"/>
  <c r="J20" i="5" s="1"/>
  <c r="D21" i="5"/>
  <c r="F21" i="5" s="1" a="1"/>
  <c r="F21" i="5" s="1"/>
  <c r="D22" i="5"/>
  <c r="K22" i="5" s="1" a="1"/>
  <c r="K22" i="5" s="1"/>
  <c r="D23" i="5"/>
  <c r="H23" i="5" s="1" a="1"/>
  <c r="H23" i="5" s="1"/>
  <c r="D24" i="5"/>
  <c r="K24" i="5" s="1" a="1"/>
  <c r="K24" i="5" s="1"/>
  <c r="D25" i="5"/>
  <c r="J25" i="5" s="1" a="1"/>
  <c r="J25" i="5" s="1"/>
  <c r="D26" i="5"/>
  <c r="E26" i="5" s="1" a="1"/>
  <c r="E26" i="5" s="1"/>
  <c r="K2" i="5" a="1"/>
  <c r="K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" i="4"/>
  <c r="D26" i="4" s="1"/>
  <c r="E26" i="4" s="1" a="1"/>
  <c r="E26" i="4" s="1"/>
  <c r="I3" i="3" a="1"/>
  <c r="I3" i="3" s="1"/>
  <c r="I4" i="3" a="1"/>
  <c r="I4" i="3" s="1"/>
  <c r="I5" i="3" a="1"/>
  <c r="I5" i="3" s="1"/>
  <c r="I6" i="3" a="1"/>
  <c r="I6" i="3" s="1"/>
  <c r="I7" i="3" a="1"/>
  <c r="I7" i="3" s="1"/>
  <c r="I8" i="3" a="1"/>
  <c r="I8" i="3" s="1"/>
  <c r="I9" i="3" a="1"/>
  <c r="I9" i="3" s="1"/>
  <c r="I10" i="3" a="1"/>
  <c r="I10" i="3" s="1"/>
  <c r="I11" i="3" a="1"/>
  <c r="I11" i="3" s="1"/>
  <c r="I12" i="3" a="1"/>
  <c r="I12" i="3" s="1"/>
  <c r="I13" i="3" a="1"/>
  <c r="I13" i="3" s="1"/>
  <c r="I14" i="3" a="1"/>
  <c r="I14" i="3" s="1"/>
  <c r="I15" i="3" a="1"/>
  <c r="I15" i="3" s="1"/>
  <c r="I16" i="3" a="1"/>
  <c r="I16" i="3" s="1"/>
  <c r="I17" i="3" a="1"/>
  <c r="I17" i="3" s="1"/>
  <c r="I18" i="3" a="1"/>
  <c r="I18" i="3" s="1"/>
  <c r="I19" i="3" a="1"/>
  <c r="I19" i="3" s="1"/>
  <c r="I20" i="3" a="1"/>
  <c r="I20" i="3" s="1"/>
  <c r="I21" i="3" a="1"/>
  <c r="I21" i="3" s="1"/>
  <c r="I22" i="3" a="1"/>
  <c r="I22" i="3" s="1"/>
  <c r="I23" i="3" a="1"/>
  <c r="I23" i="3" s="1"/>
  <c r="I24" i="3" a="1"/>
  <c r="I24" i="3" s="1"/>
  <c r="I25" i="3" a="1"/>
  <c r="I25" i="3" s="1"/>
  <c r="I26" i="3" a="1"/>
  <c r="I26" i="3"/>
  <c r="I2" i="3" a="1"/>
  <c r="I2" i="3" s="1"/>
  <c r="H3" i="3" a="1"/>
  <c r="H3" i="3" s="1"/>
  <c r="H4" i="3" a="1"/>
  <c r="H4" i="3" s="1"/>
  <c r="H5" i="3" a="1"/>
  <c r="H5" i="3" s="1"/>
  <c r="H6" i="3" a="1"/>
  <c r="H6" i="3" s="1"/>
  <c r="H7" i="3" a="1"/>
  <c r="H7" i="3" s="1"/>
  <c r="H8" i="3" a="1"/>
  <c r="H8" i="3" s="1"/>
  <c r="H9" i="3" a="1"/>
  <c r="H9" i="3" s="1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" i="3" a="1"/>
  <c r="H2" i="3" s="1"/>
  <c r="G3" i="3" a="1"/>
  <c r="G3" i="3" s="1"/>
  <c r="G4" i="3" a="1"/>
  <c r="G4" i="3" s="1"/>
  <c r="G5" i="3" a="1"/>
  <c r="G5" i="3" s="1"/>
  <c r="G6" i="3" a="1"/>
  <c r="G6" i="3" s="1"/>
  <c r="G7" i="3" a="1"/>
  <c r="G7" i="3" s="1"/>
  <c r="G8" i="3" a="1"/>
  <c r="G8" i="3" s="1"/>
  <c r="G9" i="3" a="1"/>
  <c r="G9" i="3" s="1"/>
  <c r="G10" i="3" a="1"/>
  <c r="G10" i="3" s="1"/>
  <c r="G11" i="3" a="1"/>
  <c r="G11" i="3" s="1"/>
  <c r="G12" i="3" a="1"/>
  <c r="G12" i="3" s="1"/>
  <c r="G13" i="3" a="1"/>
  <c r="G13" i="3" s="1"/>
  <c r="G14" i="3" a="1"/>
  <c r="G14" i="3" s="1"/>
  <c r="G15" i="3" a="1"/>
  <c r="G15" i="3" s="1"/>
  <c r="G16" i="3" a="1"/>
  <c r="G16" i="3" s="1"/>
  <c r="G17" i="3" a="1"/>
  <c r="G17" i="3" s="1"/>
  <c r="G18" i="3" a="1"/>
  <c r="G18" i="3" s="1"/>
  <c r="G19" i="3" a="1"/>
  <c r="G19" i="3" s="1"/>
  <c r="G20" i="3" a="1"/>
  <c r="G20" i="3" s="1"/>
  <c r="G21" i="3" a="1"/>
  <c r="G21" i="3" s="1"/>
  <c r="G22" i="3" a="1"/>
  <c r="G22" i="3" s="1"/>
  <c r="G23" i="3" a="1"/>
  <c r="G23" i="3" s="1"/>
  <c r="G24" i="3" a="1"/>
  <c r="G24" i="3" s="1"/>
  <c r="G25" i="3" a="1"/>
  <c r="G25" i="3" s="1"/>
  <c r="G26" i="3" a="1"/>
  <c r="G26" i="3" s="1"/>
  <c r="G2" i="3" a="1"/>
  <c r="G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" i="3" a="1"/>
  <c r="F2" i="3" s="1"/>
  <c r="E3" i="3" a="1"/>
  <c r="E3" i="3" s="1"/>
  <c r="E4" i="3" a="1"/>
  <c r="E4" i="3" s="1"/>
  <c r="E5" i="3" a="1"/>
  <c r="E5" i="3" s="1"/>
  <c r="E6" i="3" a="1"/>
  <c r="E6" i="3" s="1"/>
  <c r="E7" i="3" a="1"/>
  <c r="E7" i="3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13" i="3" a="1"/>
  <c r="E13" i="3" s="1"/>
  <c r="E14" i="3" a="1"/>
  <c r="E14" i="3" s="1"/>
  <c r="E15" i="3" a="1"/>
  <c r="E15" i="3" s="1"/>
  <c r="E16" i="3" a="1"/>
  <c r="E16" i="3" s="1"/>
  <c r="E17" i="3" a="1"/>
  <c r="E17" i="3" s="1"/>
  <c r="E18" i="3" a="1"/>
  <c r="E18" i="3" s="1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E25" i="3" a="1"/>
  <c r="E25" i="3" s="1"/>
  <c r="E26" i="3" a="1"/>
  <c r="E26" i="3" s="1"/>
  <c r="E2" i="3" a="1"/>
  <c r="E2" i="3" s="1"/>
  <c r="I32" i="3" s="1"/>
  <c r="D3" i="3" a="1"/>
  <c r="D3" i="3" s="1"/>
  <c r="D4" i="3" a="1"/>
  <c r="D4" i="3" s="1"/>
  <c r="D5" i="3" a="1"/>
  <c r="D5" i="3" s="1"/>
  <c r="D6" i="3" a="1"/>
  <c r="D6" i="3" s="1"/>
  <c r="D7" i="3" a="1"/>
  <c r="D7" i="3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24" i="3" a="1"/>
  <c r="D24" i="3" s="1"/>
  <c r="D25" i="3" a="1"/>
  <c r="D25" i="3" s="1"/>
  <c r="D26" i="3" a="1"/>
  <c r="D26" i="3" s="1"/>
  <c r="D2" i="3" a="1"/>
  <c r="D2" i="3" s="1"/>
  <c r="C26" i="3" a="1"/>
  <c r="C26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" i="3" a="1"/>
  <c r="C2" i="3" s="1"/>
  <c r="H32" i="3" l="1"/>
  <c r="E32" i="3"/>
  <c r="D32" i="3"/>
  <c r="F32" i="3"/>
  <c r="G32" i="3"/>
  <c r="D22" i="4"/>
  <c r="I22" i="4" s="1" a="1"/>
  <c r="I22" i="4" s="1"/>
  <c r="D14" i="4"/>
  <c r="F14" i="4" s="1" a="1"/>
  <c r="F14" i="4" s="1"/>
  <c r="D6" i="4"/>
  <c r="F6" i="4" s="1" a="1"/>
  <c r="F6" i="4" s="1"/>
  <c r="D20" i="4"/>
  <c r="I20" i="4" s="1" a="1"/>
  <c r="I20" i="4" s="1"/>
  <c r="D4" i="4"/>
  <c r="G4" i="4" s="1" a="1"/>
  <c r="G4" i="4" s="1"/>
  <c r="D24" i="4"/>
  <c r="H24" i="4" s="1" a="1"/>
  <c r="H24" i="4" s="1"/>
  <c r="D16" i="4"/>
  <c r="K16" i="4" s="1" a="1"/>
  <c r="K16" i="4" s="1"/>
  <c r="D8" i="4"/>
  <c r="F8" i="4" s="1" a="1"/>
  <c r="F8" i="4" s="1"/>
  <c r="D23" i="4"/>
  <c r="F23" i="4" s="1" a="1"/>
  <c r="F23" i="4" s="1"/>
  <c r="D7" i="4"/>
  <c r="K7" i="4" s="1" a="1"/>
  <c r="K7" i="4" s="1"/>
  <c r="D21" i="4"/>
  <c r="E21" i="4" s="1" a="1"/>
  <c r="E21" i="4" s="1"/>
  <c r="D13" i="4"/>
  <c r="G13" i="4" s="1" a="1"/>
  <c r="G13" i="4" s="1"/>
  <c r="D5" i="4"/>
  <c r="I5" i="4" s="1" a="1"/>
  <c r="I5" i="4" s="1"/>
  <c r="D12" i="4"/>
  <c r="F12" i="4" s="1" a="1"/>
  <c r="F12" i="4" s="1"/>
  <c r="D2" i="4"/>
  <c r="K2" i="4" s="1" a="1"/>
  <c r="K2" i="4" s="1"/>
  <c r="D19" i="4"/>
  <c r="E19" i="4" s="1" a="1"/>
  <c r="E19" i="4" s="1"/>
  <c r="D11" i="4"/>
  <c r="K11" i="4" s="1" a="1"/>
  <c r="K11" i="4" s="1"/>
  <c r="D18" i="4"/>
  <c r="I18" i="4" s="1" a="1"/>
  <c r="I18" i="4" s="1"/>
  <c r="D10" i="4"/>
  <c r="H10" i="4" s="1" a="1"/>
  <c r="H10" i="4" s="1"/>
  <c r="D3" i="4"/>
  <c r="E3" i="4" s="1" a="1"/>
  <c r="E3" i="4" s="1"/>
  <c r="D25" i="4"/>
  <c r="K25" i="4" s="1" a="1"/>
  <c r="K25" i="4" s="1"/>
  <c r="D17" i="4"/>
  <c r="H17" i="4" s="1" a="1"/>
  <c r="H17" i="4" s="1"/>
  <c r="D9" i="4"/>
  <c r="K9" i="4" s="1" a="1"/>
  <c r="K9" i="4" s="1"/>
  <c r="D15" i="4"/>
  <c r="G15" i="4" s="1" a="1"/>
  <c r="G15" i="4" s="1"/>
  <c r="E25" i="5" a="1"/>
  <c r="E25" i="5" s="1"/>
  <c r="E23" i="5" a="1"/>
  <c r="E23" i="5" s="1"/>
  <c r="E18" i="5" a="1"/>
  <c r="E18" i="5" s="1"/>
  <c r="E16" i="5" a="1"/>
  <c r="E16" i="5" s="1"/>
  <c r="E11" i="5" a="1"/>
  <c r="E11" i="5" s="1"/>
  <c r="E4" i="5" a="1"/>
  <c r="E4" i="5" s="1"/>
  <c r="F26" i="5" a="1"/>
  <c r="F26" i="5" s="1"/>
  <c r="F23" i="5" a="1"/>
  <c r="F23" i="5" s="1"/>
  <c r="F16" i="5" a="1"/>
  <c r="F16" i="5" s="1"/>
  <c r="F4" i="5" a="1"/>
  <c r="F4" i="5" s="1"/>
  <c r="G26" i="5" a="1"/>
  <c r="G26" i="5" s="1"/>
  <c r="G24" i="5" a="1"/>
  <c r="G24" i="5" s="1"/>
  <c r="G19" i="5" a="1"/>
  <c r="G19" i="5" s="1"/>
  <c r="G17" i="5" a="1"/>
  <c r="G17" i="5" s="1"/>
  <c r="G10" i="5" a="1"/>
  <c r="G10" i="5" s="1"/>
  <c r="G8" i="5" a="1"/>
  <c r="G8" i="5" s="1"/>
  <c r="H26" i="5" a="1"/>
  <c r="H26" i="5" s="1"/>
  <c r="H24" i="5" a="1"/>
  <c r="H24" i="5" s="1"/>
  <c r="H19" i="5" a="1"/>
  <c r="H19" i="5" s="1"/>
  <c r="H17" i="5" a="1"/>
  <c r="H17" i="5" s="1"/>
  <c r="H10" i="5" a="1"/>
  <c r="H10" i="5" s="1"/>
  <c r="H8" i="5" a="1"/>
  <c r="H8" i="5" s="1"/>
  <c r="H3" i="5" a="1"/>
  <c r="H3" i="5" s="1"/>
  <c r="I26" i="5" a="1"/>
  <c r="I26" i="5" s="1"/>
  <c r="I24" i="5" a="1"/>
  <c r="I24" i="5" s="1"/>
  <c r="I10" i="5" a="1"/>
  <c r="I10" i="5" s="1"/>
  <c r="I8" i="5" a="1"/>
  <c r="I8" i="5" s="1"/>
  <c r="I6" i="5" a="1"/>
  <c r="I6" i="5" s="1"/>
  <c r="J26" i="5" a="1"/>
  <c r="J26" i="5" s="1"/>
  <c r="J17" i="5" a="1"/>
  <c r="J17" i="5" s="1"/>
  <c r="J12" i="5" a="1"/>
  <c r="J12" i="5" s="1"/>
  <c r="J10" i="5" a="1"/>
  <c r="J10" i="5" s="1"/>
  <c r="J8" i="5" a="1"/>
  <c r="J8" i="5" s="1"/>
  <c r="J3" i="5" a="1"/>
  <c r="J3" i="5" s="1"/>
  <c r="K26" i="5" a="1"/>
  <c r="K26" i="5" s="1"/>
  <c r="K21" i="5" a="1"/>
  <c r="K21" i="5" s="1"/>
  <c r="K19" i="5" a="1"/>
  <c r="K19" i="5" s="1"/>
  <c r="K13" i="5" a="1"/>
  <c r="K13" i="5" s="1"/>
  <c r="K7" i="5" a="1"/>
  <c r="K7" i="5" s="1"/>
  <c r="K3" i="5" a="1"/>
  <c r="K3" i="5" s="1"/>
  <c r="E2" i="5" a="1"/>
  <c r="E2" i="5" s="1"/>
  <c r="E20" i="5" a="1"/>
  <c r="E20" i="5" s="1"/>
  <c r="E15" i="5" a="1"/>
  <c r="E15" i="5" s="1"/>
  <c r="E13" i="5" a="1"/>
  <c r="E13" i="5" s="1"/>
  <c r="E8" i="5" a="1"/>
  <c r="E8" i="5" s="1"/>
  <c r="E6" i="5" a="1"/>
  <c r="E6" i="5" s="1"/>
  <c r="E3" i="5" a="1"/>
  <c r="E3" i="5" s="1"/>
  <c r="F20" i="5" a="1"/>
  <c r="F20" i="5" s="1"/>
  <c r="F18" i="5" a="1"/>
  <c r="F18" i="5" s="1"/>
  <c r="F15" i="5" a="1"/>
  <c r="F15" i="5" s="1"/>
  <c r="F13" i="5" a="1"/>
  <c r="F13" i="5" s="1"/>
  <c r="F11" i="5" a="1"/>
  <c r="F11" i="5" s="1"/>
  <c r="F8" i="5" a="1"/>
  <c r="F8" i="5" s="1"/>
  <c r="F6" i="5" a="1"/>
  <c r="F6" i="5" s="1"/>
  <c r="F3" i="5" a="1"/>
  <c r="F3" i="5" s="1"/>
  <c r="G21" i="5" a="1"/>
  <c r="G21" i="5" s="1"/>
  <c r="G16" i="5" a="1"/>
  <c r="G16" i="5" s="1"/>
  <c r="G14" i="5" a="1"/>
  <c r="G14" i="5" s="1"/>
  <c r="G12" i="5" a="1"/>
  <c r="G12" i="5" s="1"/>
  <c r="G7" i="5" a="1"/>
  <c r="G7" i="5" s="1"/>
  <c r="G5" i="5" a="1"/>
  <c r="G5" i="5" s="1"/>
  <c r="G3" i="5" a="1"/>
  <c r="G3" i="5" s="1"/>
  <c r="H21" i="5" a="1"/>
  <c r="H21" i="5" s="1"/>
  <c r="H16" i="5" a="1"/>
  <c r="H16" i="5" s="1"/>
  <c r="H14" i="5" a="1"/>
  <c r="H14" i="5" s="1"/>
  <c r="H12" i="5" a="1"/>
  <c r="H12" i="5" s="1"/>
  <c r="H5" i="5" a="1"/>
  <c r="H5" i="5" s="1"/>
  <c r="I23" i="5" a="1"/>
  <c r="I23" i="5" s="1"/>
  <c r="I21" i="5" a="1"/>
  <c r="I21" i="5" s="1"/>
  <c r="I19" i="5" a="1"/>
  <c r="I19" i="5" s="1"/>
  <c r="I16" i="5" a="1"/>
  <c r="I16" i="5" s="1"/>
  <c r="I14" i="5" a="1"/>
  <c r="I14" i="5" s="1"/>
  <c r="I12" i="5" a="1"/>
  <c r="I12" i="5" s="1"/>
  <c r="I5" i="5" a="1"/>
  <c r="I5" i="5" s="1"/>
  <c r="J23" i="5" a="1"/>
  <c r="J23" i="5" s="1"/>
  <c r="J21" i="5" a="1"/>
  <c r="J21" i="5" s="1"/>
  <c r="J19" i="5" a="1"/>
  <c r="J19" i="5" s="1"/>
  <c r="J16" i="5" a="1"/>
  <c r="J16" i="5" s="1"/>
  <c r="J14" i="5" a="1"/>
  <c r="J14" i="5" s="1"/>
  <c r="J5" i="5" a="1"/>
  <c r="J5" i="5" s="1"/>
  <c r="K25" i="5" a="1"/>
  <c r="K25" i="5" s="1"/>
  <c r="K23" i="5" a="1"/>
  <c r="K23" i="5" s="1"/>
  <c r="K18" i="5" a="1"/>
  <c r="K18" i="5" s="1"/>
  <c r="K10" i="5" a="1"/>
  <c r="K10" i="5" s="1"/>
  <c r="K6" i="5" a="1"/>
  <c r="K6" i="5" s="1"/>
  <c r="E24" i="5" a="1"/>
  <c r="E24" i="5" s="1"/>
  <c r="E22" i="5" a="1"/>
  <c r="E22" i="5" s="1"/>
  <c r="E17" i="5" a="1"/>
  <c r="E17" i="5" s="1"/>
  <c r="E12" i="5" a="1"/>
  <c r="E12" i="5" s="1"/>
  <c r="E10" i="5" a="1"/>
  <c r="E10" i="5" s="1"/>
  <c r="E5" i="5" a="1"/>
  <c r="E5" i="5" s="1"/>
  <c r="F2" i="5" a="1"/>
  <c r="F2" i="5" s="1"/>
  <c r="F25" i="5" a="1"/>
  <c r="F25" i="5" s="1"/>
  <c r="F22" i="5" a="1"/>
  <c r="F22" i="5" s="1"/>
  <c r="F17" i="5" a="1"/>
  <c r="F17" i="5" s="1"/>
  <c r="G2" i="5" a="1"/>
  <c r="G2" i="5" s="1"/>
  <c r="G25" i="5" a="1"/>
  <c r="G25" i="5" s="1"/>
  <c r="G23" i="5" a="1"/>
  <c r="G23" i="5" s="1"/>
  <c r="G20" i="5" a="1"/>
  <c r="G20" i="5" s="1"/>
  <c r="G18" i="5" a="1"/>
  <c r="G18" i="5" s="1"/>
  <c r="G9" i="5" a="1"/>
  <c r="G9" i="5" s="1"/>
  <c r="H2" i="5" a="1"/>
  <c r="H2" i="5" s="1"/>
  <c r="H25" i="5" a="1"/>
  <c r="H25" i="5" s="1"/>
  <c r="H18" i="5" a="1"/>
  <c r="H18" i="5" s="1"/>
  <c r="H9" i="5" a="1"/>
  <c r="H9" i="5" s="1"/>
  <c r="H7" i="5" a="1"/>
  <c r="H7" i="5" s="1"/>
  <c r="H4" i="5" a="1"/>
  <c r="H4" i="5" s="1"/>
  <c r="I2" i="5" a="1"/>
  <c r="I2" i="5" s="1"/>
  <c r="I25" i="5" a="1"/>
  <c r="I25" i="5" s="1"/>
  <c r="I18" i="5" a="1"/>
  <c r="I18" i="5" s="1"/>
  <c r="I11" i="5" a="1"/>
  <c r="I11" i="5" s="1"/>
  <c r="I9" i="5" a="1"/>
  <c r="I9" i="5" s="1"/>
  <c r="I7" i="5" a="1"/>
  <c r="I7" i="5" s="1"/>
  <c r="J2" i="5" a="1"/>
  <c r="J2" i="5" s="1"/>
  <c r="J11" i="5" a="1"/>
  <c r="J11" i="5" s="1"/>
  <c r="J9" i="5" a="1"/>
  <c r="J9" i="5" s="1"/>
  <c r="J7" i="5" a="1"/>
  <c r="J7" i="5" s="1"/>
  <c r="K20" i="5" a="1"/>
  <c r="K20" i="5" s="1"/>
  <c r="K15" i="5" a="1"/>
  <c r="K15" i="5" s="1"/>
  <c r="K12" i="5" a="1"/>
  <c r="K12" i="5" s="1"/>
  <c r="K9" i="5" a="1"/>
  <c r="K9" i="5" s="1"/>
  <c r="K5" i="5" a="1"/>
  <c r="K5" i="5" s="1"/>
  <c r="E21" i="5" a="1"/>
  <c r="E21" i="5" s="1"/>
  <c r="E19" i="5" a="1"/>
  <c r="E19" i="5" s="1"/>
  <c r="E14" i="5" a="1"/>
  <c r="E14" i="5" s="1"/>
  <c r="E9" i="5" a="1"/>
  <c r="E9" i="5" s="1"/>
  <c r="E7" i="5" a="1"/>
  <c r="E7" i="5" s="1"/>
  <c r="F24" i="5" a="1"/>
  <c r="F24" i="5" s="1"/>
  <c r="F14" i="5" a="1"/>
  <c r="F14" i="5" s="1"/>
  <c r="G22" i="5" a="1"/>
  <c r="G22" i="5" s="1"/>
  <c r="G15" i="5" a="1"/>
  <c r="G15" i="5" s="1"/>
  <c r="G13" i="5" a="1"/>
  <c r="G13" i="5" s="1"/>
  <c r="G11" i="5" a="1"/>
  <c r="G11" i="5" s="1"/>
  <c r="G6" i="5" a="1"/>
  <c r="G6" i="5" s="1"/>
  <c r="G4" i="5" a="1"/>
  <c r="G4" i="5" s="1"/>
  <c r="H22" i="5" a="1"/>
  <c r="H22" i="5" s="1"/>
  <c r="H20" i="5" a="1"/>
  <c r="H20" i="5" s="1"/>
  <c r="H15" i="5" a="1"/>
  <c r="H15" i="5" s="1"/>
  <c r="H13" i="5" a="1"/>
  <c r="H13" i="5" s="1"/>
  <c r="H11" i="5" a="1"/>
  <c r="H11" i="5" s="1"/>
  <c r="H6" i="5" a="1"/>
  <c r="H6" i="5" s="1"/>
  <c r="I22" i="5" a="1"/>
  <c r="I22" i="5" s="1"/>
  <c r="I20" i="5" a="1"/>
  <c r="I20" i="5" s="1"/>
  <c r="I17" i="5" a="1"/>
  <c r="I17" i="5" s="1"/>
  <c r="I15" i="5" a="1"/>
  <c r="I15" i="5" s="1"/>
  <c r="I13" i="5" a="1"/>
  <c r="I13" i="5" s="1"/>
  <c r="I4" i="5" a="1"/>
  <c r="I4" i="5" s="1"/>
  <c r="J24" i="5" a="1"/>
  <c r="J24" i="5" s="1"/>
  <c r="J22" i="5" a="1"/>
  <c r="J22" i="5" s="1"/>
  <c r="J4" i="5" a="1"/>
  <c r="J4" i="5" s="1"/>
  <c r="E23" i="4" a="1"/>
  <c r="E23" i="4" s="1"/>
  <c r="E16" i="4" a="1"/>
  <c r="E16" i="4" s="1"/>
  <c r="E14" i="4" a="1"/>
  <c r="E14" i="4" s="1"/>
  <c r="E12" i="4" a="1"/>
  <c r="E12" i="4" s="1"/>
  <c r="E9" i="4" a="1"/>
  <c r="E9" i="4" s="1"/>
  <c r="E7" i="4" a="1"/>
  <c r="E7" i="4" s="1"/>
  <c r="F2" i="4" a="1"/>
  <c r="F2" i="4" s="1"/>
  <c r="F25" i="4" a="1"/>
  <c r="F25" i="4" s="1"/>
  <c r="F22" i="4" a="1"/>
  <c r="F22" i="4" s="1"/>
  <c r="F20" i="4" a="1"/>
  <c r="F20" i="4" s="1"/>
  <c r="F18" i="4" a="1"/>
  <c r="F18" i="4" s="1"/>
  <c r="G26" i="4" a="1"/>
  <c r="G26" i="4" s="1"/>
  <c r="G17" i="4" a="1"/>
  <c r="G17" i="4" s="1"/>
  <c r="G10" i="4" a="1"/>
  <c r="G10" i="4" s="1"/>
  <c r="G8" i="4" a="1"/>
  <c r="G8" i="4" s="1"/>
  <c r="G6" i="4" a="1"/>
  <c r="G6" i="4" s="1"/>
  <c r="H26" i="4" a="1"/>
  <c r="H26" i="4" s="1"/>
  <c r="H21" i="4" a="1"/>
  <c r="H21" i="4" s="1"/>
  <c r="H19" i="4" a="1"/>
  <c r="H19" i="4" s="1"/>
  <c r="H14" i="4" a="1"/>
  <c r="H14" i="4" s="1"/>
  <c r="H12" i="4" a="1"/>
  <c r="H12" i="4" s="1"/>
  <c r="H9" i="4" a="1"/>
  <c r="H9" i="4" s="1"/>
  <c r="H7" i="4" a="1"/>
  <c r="H7" i="4" s="1"/>
  <c r="H5" i="4" a="1"/>
  <c r="H5" i="4" s="1"/>
  <c r="I15" i="4" a="1"/>
  <c r="I15" i="4" s="1"/>
  <c r="I11" i="4" a="1"/>
  <c r="I11" i="4" s="1"/>
  <c r="J22" i="4" a="1"/>
  <c r="J22" i="4" s="1"/>
  <c r="J20" i="4" a="1"/>
  <c r="J20" i="4" s="1"/>
  <c r="J18" i="4" a="1"/>
  <c r="J18" i="4" s="1"/>
  <c r="J16" i="4" a="1"/>
  <c r="J16" i="4" s="1"/>
  <c r="J14" i="4" a="1"/>
  <c r="J14" i="4" s="1"/>
  <c r="J12" i="4" a="1"/>
  <c r="J12" i="4" s="1"/>
  <c r="J10" i="4" a="1"/>
  <c r="J10" i="4" s="1"/>
  <c r="J8" i="4" a="1"/>
  <c r="J8" i="4" s="1"/>
  <c r="J6" i="4" a="1"/>
  <c r="J6" i="4" s="1"/>
  <c r="K22" i="4" a="1"/>
  <c r="K22" i="4" s="1"/>
  <c r="K20" i="4" a="1"/>
  <c r="K20" i="4" s="1"/>
  <c r="K18" i="4" a="1"/>
  <c r="K18" i="4" s="1"/>
  <c r="K15" i="4" a="1"/>
  <c r="K15" i="4" s="1"/>
  <c r="E2" i="4" a="1"/>
  <c r="E2" i="4" s="1"/>
  <c r="E25" i="4" a="1"/>
  <c r="E25" i="4" s="1"/>
  <c r="E22" i="4" a="1"/>
  <c r="E22" i="4" s="1"/>
  <c r="E20" i="4" a="1"/>
  <c r="E20" i="4" s="1"/>
  <c r="E18" i="4" a="1"/>
  <c r="E18" i="4" s="1"/>
  <c r="E11" i="4" a="1"/>
  <c r="E11" i="4" s="1"/>
  <c r="F17" i="4" a="1"/>
  <c r="F17" i="4" s="1"/>
  <c r="F15" i="4" a="1"/>
  <c r="F15" i="4" s="1"/>
  <c r="F11" i="4" a="1"/>
  <c r="F11" i="4" s="1"/>
  <c r="F9" i="4" a="1"/>
  <c r="F9" i="4" s="1"/>
  <c r="F7" i="4" a="1"/>
  <c r="F7" i="4" s="1"/>
  <c r="G23" i="4" a="1"/>
  <c r="G23" i="4" s="1"/>
  <c r="G21" i="4" a="1"/>
  <c r="G21" i="4" s="1"/>
  <c r="G19" i="4" a="1"/>
  <c r="G19" i="4" s="1"/>
  <c r="G14" i="4" a="1"/>
  <c r="G14" i="4" s="1"/>
  <c r="G12" i="4" a="1"/>
  <c r="G12" i="4" s="1"/>
  <c r="H23" i="4" a="1"/>
  <c r="H23" i="4" s="1"/>
  <c r="H16" i="4" a="1"/>
  <c r="H16" i="4" s="1"/>
  <c r="I26" i="4" a="1"/>
  <c r="I26" i="4" s="1"/>
  <c r="I21" i="4" a="1"/>
  <c r="I21" i="4" s="1"/>
  <c r="I19" i="4" a="1"/>
  <c r="I19" i="4" s="1"/>
  <c r="I17" i="4" a="1"/>
  <c r="I17" i="4" s="1"/>
  <c r="I10" i="4" a="1"/>
  <c r="I10" i="4" s="1"/>
  <c r="I8" i="4" a="1"/>
  <c r="I8" i="4" s="1"/>
  <c r="I6" i="4" a="1"/>
  <c r="I6" i="4" s="1"/>
  <c r="J26" i="4" a="1"/>
  <c r="J26" i="4" s="1"/>
  <c r="J24" i="4" a="1"/>
  <c r="J24" i="4" s="1"/>
  <c r="K26" i="4" a="1"/>
  <c r="K26" i="4" s="1"/>
  <c r="K17" i="4" a="1"/>
  <c r="K17" i="4" s="1"/>
  <c r="K10" i="4" a="1"/>
  <c r="K10" i="4" s="1"/>
  <c r="K8" i="4" a="1"/>
  <c r="K8" i="4" s="1"/>
  <c r="K6" i="4" a="1"/>
  <c r="K6" i="4" s="1"/>
  <c r="E15" i="4" a="1"/>
  <c r="E15" i="4" s="1"/>
  <c r="E10" i="4" a="1"/>
  <c r="E10" i="4" s="1"/>
  <c r="E8" i="4" a="1"/>
  <c r="E8" i="4" s="1"/>
  <c r="E6" i="4" a="1"/>
  <c r="E6" i="4" s="1"/>
  <c r="F26" i="4" a="1"/>
  <c r="F26" i="4" s="1"/>
  <c r="F21" i="4" a="1"/>
  <c r="F21" i="4" s="1"/>
  <c r="F19" i="4" a="1"/>
  <c r="F19" i="4" s="1"/>
  <c r="G2" i="4" a="1"/>
  <c r="G2" i="4" s="1"/>
  <c r="G25" i="4" a="1"/>
  <c r="G25" i="4" s="1"/>
  <c r="G16" i="4" a="1"/>
  <c r="G16" i="4" s="1"/>
  <c r="G11" i="4" a="1"/>
  <c r="G11" i="4" s="1"/>
  <c r="G9" i="4" a="1"/>
  <c r="G9" i="4" s="1"/>
  <c r="G7" i="4" a="1"/>
  <c r="G7" i="4" s="1"/>
  <c r="H2" i="4" a="1"/>
  <c r="H2" i="4" s="1"/>
  <c r="H25" i="4" a="1"/>
  <c r="H25" i="4" s="1"/>
  <c r="H20" i="4" a="1"/>
  <c r="H20" i="4" s="1"/>
  <c r="H18" i="4" a="1"/>
  <c r="H18" i="4" s="1"/>
  <c r="H15" i="4" a="1"/>
  <c r="H15" i="4" s="1"/>
  <c r="H11" i="4" a="1"/>
  <c r="H11" i="4" s="1"/>
  <c r="H8" i="4" a="1"/>
  <c r="H8" i="4" s="1"/>
  <c r="H6" i="4" a="1"/>
  <c r="H6" i="4" s="1"/>
  <c r="H3" i="4" a="1"/>
  <c r="H3" i="4" s="1"/>
  <c r="I23" i="4" a="1"/>
  <c r="I23" i="4" s="1"/>
  <c r="I16" i="4" a="1"/>
  <c r="I16" i="4" s="1"/>
  <c r="I14" i="4" a="1"/>
  <c r="I14" i="4" s="1"/>
  <c r="I12" i="4" a="1"/>
  <c r="I12" i="4" s="1"/>
  <c r="J23" i="4" a="1"/>
  <c r="J23" i="4" s="1"/>
  <c r="J21" i="4" a="1"/>
  <c r="J21" i="4" s="1"/>
  <c r="J19" i="4" a="1"/>
  <c r="J19" i="4" s="1"/>
  <c r="J17" i="4" a="1"/>
  <c r="J17" i="4" s="1"/>
  <c r="J15" i="4" a="1"/>
  <c r="J15" i="4" s="1"/>
  <c r="J11" i="4" a="1"/>
  <c r="J11" i="4" s="1"/>
  <c r="J9" i="4" a="1"/>
  <c r="J9" i="4" s="1"/>
  <c r="J7" i="4" a="1"/>
  <c r="J7" i="4" s="1"/>
  <c r="J3" i="4" a="1"/>
  <c r="J3" i="4" s="1"/>
  <c r="K23" i="4" a="1"/>
  <c r="K23" i="4" s="1"/>
  <c r="K21" i="4" a="1"/>
  <c r="K21" i="4" s="1"/>
  <c r="K19" i="4" a="1"/>
  <c r="K19" i="4" s="1"/>
  <c r="K14" i="4" a="1"/>
  <c r="K14" i="4" s="1"/>
  <c r="K12" i="4" a="1"/>
  <c r="K12" i="4" s="1"/>
  <c r="E17" i="4" a="1"/>
  <c r="E17" i="4" s="1"/>
  <c r="F16" i="4" a="1"/>
  <c r="F16" i="4" s="1"/>
  <c r="F10" i="4" a="1"/>
  <c r="F10" i="4" s="1"/>
  <c r="G22" i="4" a="1"/>
  <c r="G22" i="4" s="1"/>
  <c r="G20" i="4" a="1"/>
  <c r="G20" i="4" s="1"/>
  <c r="G18" i="4" a="1"/>
  <c r="G18" i="4" s="1"/>
  <c r="H22" i="4" a="1"/>
  <c r="H22" i="4" s="1"/>
  <c r="I2" i="4" a="1"/>
  <c r="I2" i="4" s="1"/>
  <c r="I25" i="4" a="1"/>
  <c r="I25" i="4" s="1"/>
  <c r="I9" i="4" a="1"/>
  <c r="I9" i="4" s="1"/>
  <c r="I7" i="4" a="1"/>
  <c r="I7" i="4" s="1"/>
  <c r="J2" i="4" a="1"/>
  <c r="J2" i="4" s="1"/>
  <c r="J25" i="4" a="1"/>
  <c r="J25" i="4" s="1"/>
  <c r="F32" i="4" l="1"/>
  <c r="J32" i="5"/>
  <c r="G32" i="5"/>
  <c r="F32" i="5"/>
  <c r="I32" i="5"/>
  <c r="H32" i="5"/>
  <c r="K32" i="5"/>
  <c r="I24" i="4" a="1"/>
  <c r="I24" i="4" s="1"/>
  <c r="F4" i="4" a="1"/>
  <c r="F4" i="4" s="1"/>
  <c r="J13" i="4" a="1"/>
  <c r="J13" i="4" s="1"/>
  <c r="K24" i="4" a="1"/>
  <c r="K24" i="4" s="1"/>
  <c r="G3" i="4" a="1"/>
  <c r="G3" i="4" s="1"/>
  <c r="K32" i="4" s="1"/>
  <c r="F5" i="4" a="1"/>
  <c r="F5" i="4" s="1"/>
  <c r="I13" i="4" a="1"/>
  <c r="I13" i="4" s="1"/>
  <c r="I32" i="4" s="1"/>
  <c r="E24" i="4" a="1"/>
  <c r="E24" i="4" s="1"/>
  <c r="E13" i="4" a="1"/>
  <c r="E13" i="4" s="1"/>
  <c r="G5" i="4" a="1"/>
  <c r="G5" i="4" s="1"/>
  <c r="K3" i="4" a="1"/>
  <c r="K3" i="4" s="1"/>
  <c r="J5" i="4" a="1"/>
  <c r="J5" i="4" s="1"/>
  <c r="F24" i="4" a="1"/>
  <c r="F24" i="4" s="1"/>
  <c r="I3" i="4" a="1"/>
  <c r="I3" i="4" s="1"/>
  <c r="H32" i="4" s="1"/>
  <c r="F13" i="4" a="1"/>
  <c r="F13" i="4" s="1"/>
  <c r="J4" i="4" a="1"/>
  <c r="J4" i="4" s="1"/>
  <c r="J32" i="4" s="1"/>
  <c r="K5" i="4" a="1"/>
  <c r="K5" i="4" s="1"/>
  <c r="H4" i="4" a="1"/>
  <c r="H4" i="4" s="1"/>
  <c r="G32" i="4" s="1"/>
  <c r="E5" i="4" a="1"/>
  <c r="E5" i="4" s="1"/>
  <c r="H13" i="4" a="1"/>
  <c r="H13" i="4" s="1"/>
  <c r="K4" i="4" a="1"/>
  <c r="K4" i="4" s="1"/>
  <c r="I4" i="4" a="1"/>
  <c r="I4" i="4" s="1"/>
  <c r="G24" i="4" a="1"/>
  <c r="G24" i="4" s="1"/>
  <c r="F3" i="4" a="1"/>
  <c r="F3" i="4" s="1"/>
  <c r="E4" i="4" a="1"/>
  <c r="E4" i="4" s="1"/>
  <c r="K13" i="4" a="1"/>
  <c r="K13" i="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<sst xmlns="http://schemas.openxmlformats.org/spreadsheetml/2006/main" count="3467" uniqueCount="357">
  <si>
    <t>hhid</t>
  </si>
  <si>
    <t>Social_group</t>
  </si>
  <si>
    <t>24698_3_01</t>
  </si>
  <si>
    <t>9</t>
  </si>
  <si>
    <t>12</t>
  </si>
  <si>
    <t>23546_4_01</t>
  </si>
  <si>
    <t>3</t>
  </si>
  <si>
    <t>07</t>
  </si>
  <si>
    <t>20242_2_01</t>
  </si>
  <si>
    <t>11812_2_02</t>
  </si>
  <si>
    <t>08</t>
  </si>
  <si>
    <t>22602_2_01</t>
  </si>
  <si>
    <t>11443_2_02</t>
  </si>
  <si>
    <t>1</t>
  </si>
  <si>
    <t>10</t>
  </si>
  <si>
    <t>11811_2_04</t>
  </si>
  <si>
    <t>12279_2_01</t>
  </si>
  <si>
    <t>10558_3_01</t>
  </si>
  <si>
    <t>05</t>
  </si>
  <si>
    <t>23140_4_02</t>
  </si>
  <si>
    <t>01</t>
  </si>
  <si>
    <t>10938_2_02</t>
  </si>
  <si>
    <t>16062_2_02</t>
  </si>
  <si>
    <t>15372_2_01</t>
  </si>
  <si>
    <t>2</t>
  </si>
  <si>
    <t>14533_3_01</t>
  </si>
  <si>
    <t>24124_1_01</t>
  </si>
  <si>
    <t>20934_4_02</t>
  </si>
  <si>
    <t>23700_1_01</t>
  </si>
  <si>
    <t>22510_1_01</t>
  </si>
  <si>
    <t>13835_2_02</t>
  </si>
  <si>
    <t>24005_3_02</t>
  </si>
  <si>
    <t>21262_1_01</t>
  </si>
  <si>
    <t>14772_2_01</t>
  </si>
  <si>
    <t>11</t>
  </si>
  <si>
    <t>11845_2_01</t>
  </si>
  <si>
    <t>21096_4_01</t>
  </si>
  <si>
    <t>15650_3_01</t>
  </si>
  <si>
    <t>16513_2_02</t>
  </si>
  <si>
    <t>12829_3_01</t>
  </si>
  <si>
    <t>21507_4_01</t>
  </si>
  <si>
    <t>23155_4_01</t>
  </si>
  <si>
    <t>06</t>
  </si>
  <si>
    <t>12742_1_01</t>
  </si>
  <si>
    <t>21692_1_02</t>
  </si>
  <si>
    <t>13</t>
  </si>
  <si>
    <t>16737_2_02</t>
  </si>
  <si>
    <t>10147_1_01</t>
  </si>
  <si>
    <t>22723_2_02</t>
  </si>
  <si>
    <t>17404_1_01</t>
  </si>
  <si>
    <t>25685_2_01</t>
  </si>
  <si>
    <t>12399_1_01</t>
  </si>
  <si>
    <t>24519_2_01</t>
  </si>
  <si>
    <t>17162_2_02</t>
  </si>
  <si>
    <t>24775_3_04</t>
  </si>
  <si>
    <t>21006_2_01</t>
  </si>
  <si>
    <t>13169_1_01</t>
  </si>
  <si>
    <t>23542_1_02</t>
  </si>
  <si>
    <t>21425_1_01</t>
  </si>
  <si>
    <t>12316_3_01</t>
  </si>
  <si>
    <t>11806_3_01</t>
  </si>
  <si>
    <t>24417_4_01</t>
  </si>
  <si>
    <t>15997_2_02</t>
  </si>
  <si>
    <t>24296_2_02</t>
  </si>
  <si>
    <t>25919_2_02</t>
  </si>
  <si>
    <t>11282_3_02</t>
  </si>
  <si>
    <t>12455_1_01</t>
  </si>
  <si>
    <t>13542_2_01</t>
  </si>
  <si>
    <t>20580_3_01</t>
  </si>
  <si>
    <t>16741_2_02</t>
  </si>
  <si>
    <t>15573_2_01</t>
  </si>
  <si>
    <t>20501_4_01</t>
  </si>
  <si>
    <t>22082_4_02</t>
  </si>
  <si>
    <t>17056_2_01</t>
  </si>
  <si>
    <t>14959_2_01</t>
  </si>
  <si>
    <t>23374_3_02</t>
  </si>
  <si>
    <t>20753_4_01</t>
  </si>
  <si>
    <t>12776_2_01</t>
  </si>
  <si>
    <t>26201_1_01</t>
  </si>
  <si>
    <t>17474_2_02</t>
  </si>
  <si>
    <t>24136_1_02</t>
  </si>
  <si>
    <t>12609_2_01</t>
  </si>
  <si>
    <t>15081_2_02</t>
  </si>
  <si>
    <t>15519_2_02</t>
  </si>
  <si>
    <t>22974_1_01</t>
  </si>
  <si>
    <t>25411_4_01</t>
  </si>
  <si>
    <t>23105_2_01</t>
  </si>
  <si>
    <t>11654_1_02</t>
  </si>
  <si>
    <t>24507_3_02</t>
  </si>
  <si>
    <t>12333_2_02</t>
  </si>
  <si>
    <t>12432_1_01</t>
  </si>
  <si>
    <t>11311_2_01</t>
  </si>
  <si>
    <t>24001_3_02</t>
  </si>
  <si>
    <t>14208_1_02</t>
  </si>
  <si>
    <t>13323_3_01</t>
  </si>
  <si>
    <t>22101_3_02</t>
  </si>
  <si>
    <t>10863_2_01</t>
  </si>
  <si>
    <t>12962_3_01</t>
  </si>
  <si>
    <t>21284_1_02</t>
  </si>
  <si>
    <t>12813_2_02</t>
  </si>
  <si>
    <t>10222_3_01</t>
  </si>
  <si>
    <t>17415_1_01</t>
  </si>
  <si>
    <t>25284_4_02</t>
  </si>
  <si>
    <t>10302_2_02</t>
  </si>
  <si>
    <t>23388_3_01</t>
  </si>
  <si>
    <t>20199_2_01</t>
  </si>
  <si>
    <t>25930_1_02</t>
  </si>
  <si>
    <t>14419_2_01</t>
  </si>
  <si>
    <t>14932_1_01</t>
  </si>
  <si>
    <t>15048_1_01</t>
  </si>
  <si>
    <t>12760_1_01</t>
  </si>
  <si>
    <t>20728_4_02</t>
  </si>
  <si>
    <t>13562_1_01</t>
  </si>
  <si>
    <t>11707_3_01</t>
  </si>
  <si>
    <t>24464_2_01</t>
  </si>
  <si>
    <t>20084_3_02</t>
  </si>
  <si>
    <t>13856_1_01</t>
  </si>
  <si>
    <t>12386_2_03</t>
  </si>
  <si>
    <t>10106_1_01</t>
  </si>
  <si>
    <t>25453_2_01</t>
  </si>
  <si>
    <t>22577_3_02</t>
  </si>
  <si>
    <t>21188_4_02</t>
  </si>
  <si>
    <t>12075_2_01</t>
  </si>
  <si>
    <t>11949_2_03</t>
  </si>
  <si>
    <t>12017_3_02</t>
  </si>
  <si>
    <t>16790_3_01</t>
  </si>
  <si>
    <t>16104_2_01</t>
  </si>
  <si>
    <t>17430_2_01</t>
  </si>
  <si>
    <t>21467_1_01</t>
  </si>
  <si>
    <t>12250_3_01</t>
  </si>
  <si>
    <t>20155_3_01</t>
  </si>
  <si>
    <t>11078_3_01</t>
  </si>
  <si>
    <t>24471_4_01</t>
  </si>
  <si>
    <t>13524_2_04</t>
  </si>
  <si>
    <t>11692_2_02</t>
  </si>
  <si>
    <t>16112_3_01</t>
  </si>
  <si>
    <t>17111_2_01</t>
  </si>
  <si>
    <t>13812_3_01</t>
  </si>
  <si>
    <t>15955_3_01</t>
  </si>
  <si>
    <t>23808_2_01</t>
  </si>
  <si>
    <t>23494_4_01</t>
  </si>
  <si>
    <t>13075_2_01</t>
  </si>
  <si>
    <t>15207_2_02</t>
  </si>
  <si>
    <t>21802_2_02</t>
  </si>
  <si>
    <t>14453_3_01</t>
  </si>
  <si>
    <t>25366_3_01</t>
  </si>
  <si>
    <t>15143_2_03</t>
  </si>
  <si>
    <t>23058_2_02</t>
  </si>
  <si>
    <t>10326_3_01</t>
  </si>
  <si>
    <t>14928_1_01</t>
  </si>
  <si>
    <t>13600_3_02</t>
  </si>
  <si>
    <t>12432_2_02</t>
  </si>
  <si>
    <t>20776_1_02</t>
  </si>
  <si>
    <t>20993_4_02</t>
  </si>
  <si>
    <t>15697_2_02</t>
  </si>
  <si>
    <t>16322_2_01</t>
  </si>
  <si>
    <t>16478_2_01</t>
  </si>
  <si>
    <t>23110_2_01</t>
  </si>
  <si>
    <t>16007_3_01</t>
  </si>
  <si>
    <t>15724_2_01</t>
  </si>
  <si>
    <t>14002_2_01</t>
  </si>
  <si>
    <t>23640_2_01</t>
  </si>
  <si>
    <t>10190_2_02</t>
  </si>
  <si>
    <t>14433_2_02</t>
  </si>
  <si>
    <t>15392_2_02</t>
  </si>
  <si>
    <t>16209_2_02</t>
  </si>
  <si>
    <t>16941_2_03</t>
  </si>
  <si>
    <t>25799_2_01</t>
  </si>
  <si>
    <t>21327_2_01</t>
  </si>
  <si>
    <t>16170_1_01</t>
  </si>
  <si>
    <t>10866_3_01</t>
  </si>
  <si>
    <t>12236_3_01</t>
  </si>
  <si>
    <t>11695_1_02</t>
  </si>
  <si>
    <t>14912_2_01</t>
  </si>
  <si>
    <t>11634_2_02</t>
  </si>
  <si>
    <t>15088_2_02</t>
  </si>
  <si>
    <t>12350_2_01</t>
  </si>
  <si>
    <t>11083_2_01</t>
  </si>
  <si>
    <t>23110_1_01</t>
  </si>
  <si>
    <t>23818_3_01</t>
  </si>
  <si>
    <t>25407_2_02</t>
  </si>
  <si>
    <t>16240_3_01</t>
  </si>
  <si>
    <t>26115_1_01</t>
  </si>
  <si>
    <t>24044_4_01</t>
  </si>
  <si>
    <t>12273_2_02</t>
  </si>
  <si>
    <t>10020_2_01</t>
  </si>
  <si>
    <t>22991_4_01</t>
  </si>
  <si>
    <t>13851_2_01</t>
  </si>
  <si>
    <t>15583_2_02</t>
  </si>
  <si>
    <t>16593_2_01</t>
  </si>
  <si>
    <t>24731_2_02</t>
  </si>
  <si>
    <t>24371_1_01</t>
  </si>
  <si>
    <t>10542_1_01</t>
  </si>
  <si>
    <t>24888_4_06</t>
  </si>
  <si>
    <t>25719_4_01</t>
  </si>
  <si>
    <t>14285_2_01</t>
  </si>
  <si>
    <t>15880_2_01</t>
  </si>
  <si>
    <t>11640_2_01</t>
  </si>
  <si>
    <t>25095_2_01</t>
  </si>
  <si>
    <t>23182_3_01</t>
  </si>
  <si>
    <t>13489_3_02</t>
  </si>
  <si>
    <t>22977_4_01</t>
  </si>
  <si>
    <t>15801_2_02</t>
  </si>
  <si>
    <t>16265_1_01</t>
  </si>
  <si>
    <t>13259_2_01</t>
  </si>
  <si>
    <t>22923_1_02</t>
  </si>
  <si>
    <t>13674_2_02</t>
  </si>
  <si>
    <t>10354_2_02</t>
  </si>
  <si>
    <t>20186_2_01</t>
  </si>
  <si>
    <t>22173_2_02</t>
  </si>
  <si>
    <t>16305_2_02</t>
  </si>
  <si>
    <t>22858_4_02</t>
  </si>
  <si>
    <t>25797_2_02</t>
  </si>
  <si>
    <t>24816_1_02</t>
  </si>
  <si>
    <t>26190_2_01</t>
  </si>
  <si>
    <t>25377_3_02</t>
  </si>
  <si>
    <t>10960_1_01</t>
  </si>
  <si>
    <t>12661_3_01</t>
  </si>
  <si>
    <t>12065_2_02</t>
  </si>
  <si>
    <t>24976_4_02</t>
  </si>
  <si>
    <t>23765_4_01</t>
  </si>
  <si>
    <t>16950_1_01</t>
  </si>
  <si>
    <t>11411_1_01</t>
  </si>
  <si>
    <t>17344_2_02</t>
  </si>
  <si>
    <t>20874_3_01</t>
  </si>
  <si>
    <t>12748_1_01</t>
  </si>
  <si>
    <t>21428_1_02</t>
  </si>
  <si>
    <t>13971_2_01</t>
  </si>
  <si>
    <t>24662_1_01</t>
  </si>
  <si>
    <t>14544_2_04</t>
  </si>
  <si>
    <t>16296_3_01</t>
  </si>
  <si>
    <t>13701_1_01</t>
  </si>
  <si>
    <t>14875_2_02</t>
  </si>
  <si>
    <t>14522_2_01</t>
  </si>
  <si>
    <t>15904_3_01</t>
  </si>
  <si>
    <t>24553_2_01</t>
  </si>
  <si>
    <t>11443_1_01</t>
  </si>
  <si>
    <t>12907_3_01</t>
  </si>
  <si>
    <t>25572_1_02</t>
  </si>
  <si>
    <t>12440_1_01</t>
  </si>
  <si>
    <t>10563_2_02</t>
  </si>
  <si>
    <t>10485_2_01</t>
  </si>
  <si>
    <t>10711_2_01</t>
  </si>
  <si>
    <t>13583_2_02</t>
  </si>
  <si>
    <t>14966_3_01</t>
  </si>
  <si>
    <t>24549_3_02</t>
  </si>
  <si>
    <t>22255_2_01</t>
  </si>
  <si>
    <t>15082_2_01</t>
  </si>
  <si>
    <t>12624_2_02</t>
  </si>
  <si>
    <t>22702_3_01</t>
  </si>
  <si>
    <t>17311_2_02</t>
  </si>
  <si>
    <t>21325_2_01</t>
  </si>
  <si>
    <t>13985_2_02</t>
  </si>
  <si>
    <t>16854_3_01</t>
  </si>
  <si>
    <t>20972_4_02</t>
  </si>
  <si>
    <t>12983_1_01</t>
  </si>
  <si>
    <t>22690_4_01</t>
  </si>
  <si>
    <t>14942_1_01</t>
  </si>
  <si>
    <t>16973_1_01</t>
  </si>
  <si>
    <t>16945_2_01</t>
  </si>
  <si>
    <t>20657_2_02</t>
  </si>
  <si>
    <t>14627_3_01</t>
  </si>
  <si>
    <t>23144_2_01</t>
  </si>
  <si>
    <t>12768_3_01</t>
  </si>
  <si>
    <t>20880_4_02</t>
  </si>
  <si>
    <t>21684_4_02</t>
  </si>
  <si>
    <t>14057_1_01</t>
  </si>
  <si>
    <t>15990_2_01</t>
  </si>
  <si>
    <t>Sample_no</t>
  </si>
  <si>
    <t>k_interval</t>
  </si>
  <si>
    <t>r_start</t>
  </si>
  <si>
    <t>Sel_Index</t>
  </si>
  <si>
    <t>sample indices</t>
  </si>
  <si>
    <t>Nh​​</t>
  </si>
  <si>
    <t>nh​</t>
  </si>
  <si>
    <t>Parameter</t>
  </si>
  <si>
    <t>Value</t>
  </si>
  <si>
    <t>Random Start (r_start)</t>
  </si>
  <si>
    <t>Usual_Con_Exp_Month</t>
  </si>
  <si>
    <t>Sample_Srl_no</t>
  </si>
  <si>
    <t>HH_Size</t>
  </si>
  <si>
    <t>Annual Exp on clothing, footwear etc.(Rs.)</t>
  </si>
  <si>
    <t>edu_level</t>
  </si>
  <si>
    <t>rand()</t>
  </si>
  <si>
    <t>RANDBETWEEN()</t>
  </si>
  <si>
    <t>N (Population Size)</t>
  </si>
  <si>
    <t>n (Sample Size)</t>
  </si>
  <si>
    <t>k (Interval = N/n)</t>
  </si>
  <si>
    <t>Selection_Index</t>
  </si>
  <si>
    <t>Rounded_Index</t>
  </si>
  <si>
    <t>hhsz</t>
  </si>
  <si>
    <t>soc_grp</t>
  </si>
  <si>
    <t>mhuce</t>
  </si>
  <si>
    <t>AE_clo&amp;fw</t>
  </si>
  <si>
    <t>Data descriotion</t>
  </si>
  <si>
    <t xml:space="preserve">This dataset consists of data on </t>
  </si>
  <si>
    <t>1.</t>
  </si>
  <si>
    <t>housheold size (hhsz)</t>
  </si>
  <si>
    <t>2.</t>
  </si>
  <si>
    <t>3.</t>
  </si>
  <si>
    <t>social group (soc_grp) [code:  scheduled tribe-1, scheduled caste-2, other backward class-3, others-9]</t>
  </si>
  <si>
    <t>4.</t>
  </si>
  <si>
    <t>monthly household usual consumption expenditure (mhuce)</t>
  </si>
  <si>
    <t xml:space="preserve">hhd_id is the identification code number for the households. </t>
  </si>
  <si>
    <t>Selected population parameters:</t>
  </si>
  <si>
    <t>households</t>
  </si>
  <si>
    <t>persons</t>
  </si>
  <si>
    <t>Total</t>
  </si>
  <si>
    <t>No. of ST households</t>
  </si>
  <si>
    <t>No. of SC households</t>
  </si>
  <si>
    <t>No. of OBC households</t>
  </si>
  <si>
    <t>No. of other households</t>
  </si>
  <si>
    <t>Average household size</t>
  </si>
  <si>
    <t>=</t>
  </si>
  <si>
    <t>Average mhuce (Rs.)</t>
  </si>
  <si>
    <t>Average mpce (Rs.)</t>
  </si>
  <si>
    <t>Sampling sl.no.</t>
  </si>
  <si>
    <t xml:space="preserve">Sampling serial number is generated for drawing a sample. </t>
  </si>
  <si>
    <t>5.</t>
  </si>
  <si>
    <t>Annual Exp on clothing, footwear etc. (AE_clo&amp;fw)</t>
  </si>
  <si>
    <t xml:space="preserve">of 253 households residing in a village. </t>
  </si>
  <si>
    <t xml:space="preserve">Education level of the head of the household (edu_lvl)  </t>
  </si>
  <si>
    <t>edu_lvl</t>
  </si>
  <si>
    <t>Oder of selection</t>
  </si>
  <si>
    <t xml:space="preserve">N = </t>
  </si>
  <si>
    <t xml:space="preserve">n = </t>
  </si>
  <si>
    <t>Estimates under SRSWOR</t>
  </si>
  <si>
    <t>population</t>
  </si>
  <si>
    <t>Avg MHUCE</t>
  </si>
  <si>
    <t>Avg AE-Clo&amp;fw</t>
  </si>
  <si>
    <t>Avg MUPCE</t>
  </si>
  <si>
    <t>proportion of ST households</t>
  </si>
  <si>
    <t>Avg. hh size</t>
  </si>
  <si>
    <t>Estimates under Linear systematic</t>
  </si>
  <si>
    <t>Estimates under SRSWR</t>
  </si>
  <si>
    <t>Draw a sample of 16 households by</t>
  </si>
  <si>
    <t>(a)</t>
  </si>
  <si>
    <t>SRSWR</t>
  </si>
  <si>
    <t>(b)</t>
  </si>
  <si>
    <t>SRSWOR</t>
  </si>
  <si>
    <t>(c)</t>
  </si>
  <si>
    <t>Circular systematic sampling</t>
  </si>
  <si>
    <t>(d)</t>
  </si>
  <si>
    <t>Stratified sampling with social groups as the strata</t>
  </si>
  <si>
    <t xml:space="preserve">and estimate </t>
  </si>
  <si>
    <t>average household size</t>
  </si>
  <si>
    <t>Exercise:</t>
  </si>
  <si>
    <t>average MHUCE</t>
  </si>
  <si>
    <t>average MUPCE</t>
  </si>
  <si>
    <t>avearge AE-clo&amp;fw</t>
  </si>
  <si>
    <t>6.</t>
  </si>
  <si>
    <t>Estimates under Circuler systematic</t>
  </si>
  <si>
    <t>Estimates under Implicit Stratification</t>
  </si>
  <si>
    <t>Stratum (soc_grp)</t>
  </si>
  <si>
    <t>nh</t>
  </si>
  <si>
    <t>Nh</t>
  </si>
  <si>
    <t>proportion of ST ,SC, OBC, Others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</si>
</sst>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0.89999084444715716"/>
      </bottom>
      <diagonal/>
    </border>
    <border>
      <left/>
      <right/>
      <top style="thin">
        <color indexed="64"/>
      </top>
      <bottom style="thin">
        <color theme="2" tint="-0.89999084444715716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164" fontId="0" fillId="0" borderId="0" xfId="0" quotePrefix="1" applyNumberFormat="1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4" fontId="3" fillId="0" borderId="0" xfId="0" applyNumberFormat="1" applyFont="1" applyAlignment="1">
      <alignment horizontal="left" vertical="center"/>
    </xf>
    <xf numFmtId="49" fontId="0" fillId="0" borderId="0" xfId="0" quotePrefix="1" applyNumberFormat="1" applyAlignment="1">
      <alignment horizontal="right" vertical="center"/>
    </xf>
    <xf numFmtId="0" fontId="0" fillId="0" borderId="0" xfId="0" applyAlignment="1"/>
    <xf numFmtId="2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" fontId="1" fillId="0" borderId="2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0" xfId="0" applyFont="1" applyAlignment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48" sqref="I248"/>
    </sheetView>
  </sheetViews>
  <sheetFormatPr defaultRowHeight="15" x14ac:dyDescent="0.25"/>
  <cols>
    <col min="1" max="1" width="12.140625" customWidth="1"/>
    <col min="2" max="2" width="9" style="9"/>
    <col min="6" max="6" width="10" customWidth="1"/>
    <col min="7" max="7" width="13.140625" customWidth="1"/>
  </cols>
  <sheetData>
    <row r="1" spans="1:10" ht="30" x14ac:dyDescent="0.25">
      <c r="A1" s="27" t="s">
        <v>0</v>
      </c>
      <c r="B1" s="28" t="s">
        <v>316</v>
      </c>
      <c r="C1" s="27" t="s">
        <v>291</v>
      </c>
      <c r="D1" s="27" t="s">
        <v>290</v>
      </c>
      <c r="E1" s="27" t="s">
        <v>292</v>
      </c>
      <c r="F1" s="27" t="s">
        <v>293</v>
      </c>
      <c r="G1" s="27" t="s">
        <v>322</v>
      </c>
      <c r="I1" s="6"/>
    </row>
    <row r="2" spans="1:10" x14ac:dyDescent="0.25">
      <c r="A2" s="30" t="s">
        <v>2</v>
      </c>
      <c r="B2" s="31">
        <v>1</v>
      </c>
      <c r="C2" s="30" t="s">
        <v>3</v>
      </c>
      <c r="D2" s="30">
        <v>1</v>
      </c>
      <c r="E2" s="30">
        <v>6721</v>
      </c>
      <c r="F2" s="30">
        <v>20000</v>
      </c>
      <c r="G2" s="30" t="s">
        <v>4</v>
      </c>
    </row>
    <row r="3" spans="1:10" x14ac:dyDescent="0.25">
      <c r="A3" s="3" t="s">
        <v>5</v>
      </c>
      <c r="B3" s="8">
        <v>2</v>
      </c>
      <c r="C3" s="3" t="s">
        <v>6</v>
      </c>
      <c r="D3" s="3">
        <v>1</v>
      </c>
      <c r="E3" s="3">
        <v>13889</v>
      </c>
      <c r="F3" s="3">
        <v>17800</v>
      </c>
      <c r="G3" s="3" t="s">
        <v>7</v>
      </c>
    </row>
    <row r="4" spans="1:10" x14ac:dyDescent="0.25">
      <c r="A4" s="3" t="s">
        <v>8</v>
      </c>
      <c r="B4" s="8">
        <v>3</v>
      </c>
      <c r="C4" s="3" t="s">
        <v>3</v>
      </c>
      <c r="D4" s="3">
        <v>4</v>
      </c>
      <c r="E4" s="3">
        <v>17292</v>
      </c>
      <c r="F4" s="3">
        <v>25000</v>
      </c>
      <c r="G4" s="3" t="s">
        <v>4</v>
      </c>
    </row>
    <row r="5" spans="1:10" x14ac:dyDescent="0.25">
      <c r="A5" s="3" t="s">
        <v>9</v>
      </c>
      <c r="B5" s="8">
        <v>4</v>
      </c>
      <c r="C5" s="3" t="s">
        <v>6</v>
      </c>
      <c r="D5" s="3">
        <v>4</v>
      </c>
      <c r="E5" s="3">
        <v>7483</v>
      </c>
      <c r="F5" s="3">
        <v>5000</v>
      </c>
      <c r="G5" s="3" t="s">
        <v>10</v>
      </c>
    </row>
    <row r="6" spans="1:10" x14ac:dyDescent="0.25">
      <c r="A6" s="3" t="s">
        <v>11</v>
      </c>
      <c r="B6" s="8">
        <v>5</v>
      </c>
      <c r="C6" s="3" t="s">
        <v>3</v>
      </c>
      <c r="D6" s="3">
        <v>2</v>
      </c>
      <c r="E6" s="3">
        <v>38792</v>
      </c>
      <c r="F6" s="3">
        <v>15000</v>
      </c>
      <c r="G6" s="3" t="s">
        <v>4</v>
      </c>
    </row>
    <row r="7" spans="1:10" x14ac:dyDescent="0.25">
      <c r="A7" s="3" t="s">
        <v>12</v>
      </c>
      <c r="B7" s="8">
        <v>6</v>
      </c>
      <c r="C7" s="3" t="s">
        <v>13</v>
      </c>
      <c r="D7" s="3">
        <v>4</v>
      </c>
      <c r="E7" s="3">
        <v>7171</v>
      </c>
      <c r="F7" s="3">
        <v>8600</v>
      </c>
      <c r="G7" s="3" t="s">
        <v>14</v>
      </c>
    </row>
    <row r="8" spans="1:10" x14ac:dyDescent="0.25">
      <c r="A8" s="3" t="s">
        <v>15</v>
      </c>
      <c r="B8" s="8">
        <v>7</v>
      </c>
      <c r="C8" s="3" t="s">
        <v>3</v>
      </c>
      <c r="D8" s="3">
        <v>5</v>
      </c>
      <c r="E8" s="3">
        <v>11550</v>
      </c>
      <c r="F8" s="3">
        <v>15000</v>
      </c>
      <c r="G8" s="3" t="s">
        <v>10</v>
      </c>
    </row>
    <row r="9" spans="1:10" x14ac:dyDescent="0.25">
      <c r="A9" s="3" t="s">
        <v>16</v>
      </c>
      <c r="B9" s="8">
        <v>8</v>
      </c>
      <c r="C9" s="3" t="s">
        <v>6</v>
      </c>
      <c r="D9" s="3">
        <v>4</v>
      </c>
      <c r="E9" s="3">
        <v>17933</v>
      </c>
      <c r="F9" s="3">
        <v>13600</v>
      </c>
      <c r="G9" s="3" t="s">
        <v>10</v>
      </c>
      <c r="J9" s="32"/>
    </row>
    <row r="10" spans="1:10" x14ac:dyDescent="0.25">
      <c r="A10" s="3" t="s">
        <v>17</v>
      </c>
      <c r="B10" s="8">
        <v>9</v>
      </c>
      <c r="C10" s="3" t="s">
        <v>6</v>
      </c>
      <c r="D10" s="3">
        <v>1</v>
      </c>
      <c r="E10" s="3">
        <v>2467</v>
      </c>
      <c r="F10" s="3">
        <v>2000</v>
      </c>
      <c r="G10" s="3" t="s">
        <v>18</v>
      </c>
    </row>
    <row r="11" spans="1:10" x14ac:dyDescent="0.25">
      <c r="A11" s="3" t="s">
        <v>19</v>
      </c>
      <c r="B11" s="8">
        <v>10</v>
      </c>
      <c r="C11" s="3" t="s">
        <v>13</v>
      </c>
      <c r="D11" s="3">
        <v>3</v>
      </c>
      <c r="E11" s="3">
        <v>6338</v>
      </c>
      <c r="F11" s="3">
        <v>6500</v>
      </c>
      <c r="G11" s="3" t="s">
        <v>20</v>
      </c>
    </row>
    <row r="12" spans="1:10" x14ac:dyDescent="0.25">
      <c r="A12" s="3" t="s">
        <v>21</v>
      </c>
      <c r="B12" s="8">
        <v>11</v>
      </c>
      <c r="C12" s="3" t="s">
        <v>6</v>
      </c>
      <c r="D12" s="3">
        <v>4</v>
      </c>
      <c r="E12" s="3">
        <v>13900</v>
      </c>
      <c r="F12" s="3">
        <v>11000</v>
      </c>
      <c r="G12" s="3" t="s">
        <v>4</v>
      </c>
    </row>
    <row r="13" spans="1:10" x14ac:dyDescent="0.25">
      <c r="A13" s="3" t="s">
        <v>22</v>
      </c>
      <c r="B13" s="8">
        <v>12</v>
      </c>
      <c r="C13" s="3" t="s">
        <v>6</v>
      </c>
      <c r="D13" s="3">
        <v>4</v>
      </c>
      <c r="E13" s="3">
        <v>11225</v>
      </c>
      <c r="F13" s="3">
        <v>6500</v>
      </c>
      <c r="G13" s="3" t="s">
        <v>10</v>
      </c>
    </row>
    <row r="14" spans="1:10" x14ac:dyDescent="0.25">
      <c r="A14" s="3" t="s">
        <v>23</v>
      </c>
      <c r="B14" s="8">
        <v>13</v>
      </c>
      <c r="C14" s="3" t="s">
        <v>24</v>
      </c>
      <c r="D14" s="3">
        <v>2</v>
      </c>
      <c r="E14" s="3">
        <v>4770</v>
      </c>
      <c r="F14" s="3">
        <v>3000</v>
      </c>
      <c r="G14" s="3" t="s">
        <v>4</v>
      </c>
    </row>
    <row r="15" spans="1:10" x14ac:dyDescent="0.25">
      <c r="A15" s="3" t="s">
        <v>25</v>
      </c>
      <c r="B15" s="8">
        <v>14</v>
      </c>
      <c r="C15" s="3" t="s">
        <v>6</v>
      </c>
      <c r="D15" s="3">
        <v>6</v>
      </c>
      <c r="E15" s="3">
        <v>15317</v>
      </c>
      <c r="F15" s="3">
        <v>10000</v>
      </c>
      <c r="G15" s="3" t="s">
        <v>7</v>
      </c>
    </row>
    <row r="16" spans="1:10" x14ac:dyDescent="0.25">
      <c r="A16" s="3" t="s">
        <v>26</v>
      </c>
      <c r="B16" s="8">
        <v>15</v>
      </c>
      <c r="C16" s="3" t="s">
        <v>6</v>
      </c>
      <c r="D16" s="3">
        <v>6</v>
      </c>
      <c r="E16" s="3">
        <v>24667</v>
      </c>
      <c r="F16" s="3">
        <v>18500</v>
      </c>
      <c r="G16" s="3" t="s">
        <v>4</v>
      </c>
    </row>
    <row r="17" spans="1:7" x14ac:dyDescent="0.25">
      <c r="A17" s="3" t="s">
        <v>27</v>
      </c>
      <c r="B17" s="8">
        <v>16</v>
      </c>
      <c r="C17" s="3" t="s">
        <v>6</v>
      </c>
      <c r="D17" s="3">
        <v>2</v>
      </c>
      <c r="E17" s="3">
        <v>8375</v>
      </c>
      <c r="F17" s="3">
        <v>8500</v>
      </c>
      <c r="G17" s="3" t="s">
        <v>7</v>
      </c>
    </row>
    <row r="18" spans="1:7" x14ac:dyDescent="0.25">
      <c r="A18" s="3" t="s">
        <v>28</v>
      </c>
      <c r="B18" s="8">
        <v>17</v>
      </c>
      <c r="C18" s="3" t="s">
        <v>6</v>
      </c>
      <c r="D18" s="3">
        <v>8</v>
      </c>
      <c r="E18" s="3">
        <v>15500</v>
      </c>
      <c r="F18" s="3">
        <v>18000</v>
      </c>
      <c r="G18" s="3" t="s">
        <v>4</v>
      </c>
    </row>
    <row r="19" spans="1:7" x14ac:dyDescent="0.25">
      <c r="A19" s="3" t="s">
        <v>29</v>
      </c>
      <c r="B19" s="8">
        <v>18</v>
      </c>
      <c r="C19" s="3" t="s">
        <v>6</v>
      </c>
      <c r="D19" s="3">
        <v>14</v>
      </c>
      <c r="E19" s="3">
        <v>19985</v>
      </c>
      <c r="F19" s="3">
        <v>10740</v>
      </c>
      <c r="G19" s="3" t="s">
        <v>4</v>
      </c>
    </row>
    <row r="20" spans="1:7" x14ac:dyDescent="0.25">
      <c r="A20" s="3" t="s">
        <v>30</v>
      </c>
      <c r="B20" s="8">
        <v>19</v>
      </c>
      <c r="C20" s="3" t="s">
        <v>6</v>
      </c>
      <c r="D20" s="3">
        <v>4</v>
      </c>
      <c r="E20" s="3">
        <v>9800</v>
      </c>
      <c r="F20" s="3">
        <v>10000</v>
      </c>
      <c r="G20" s="3" t="s">
        <v>4</v>
      </c>
    </row>
    <row r="21" spans="1:7" x14ac:dyDescent="0.25">
      <c r="A21" s="3" t="s">
        <v>31</v>
      </c>
      <c r="B21" s="8">
        <v>20</v>
      </c>
      <c r="C21" s="3" t="s">
        <v>6</v>
      </c>
      <c r="D21" s="3">
        <v>2</v>
      </c>
      <c r="E21" s="3">
        <v>4992</v>
      </c>
      <c r="F21" s="3">
        <v>3500</v>
      </c>
      <c r="G21" s="3" t="s">
        <v>10</v>
      </c>
    </row>
    <row r="22" spans="1:7" x14ac:dyDescent="0.25">
      <c r="A22" s="3" t="s">
        <v>32</v>
      </c>
      <c r="B22" s="8">
        <v>21</v>
      </c>
      <c r="C22" s="3" t="s">
        <v>6</v>
      </c>
      <c r="D22" s="3">
        <v>6</v>
      </c>
      <c r="E22" s="3">
        <v>6320</v>
      </c>
      <c r="F22" s="3">
        <v>12000</v>
      </c>
      <c r="G22" s="3" t="s">
        <v>14</v>
      </c>
    </row>
    <row r="23" spans="1:7" x14ac:dyDescent="0.25">
      <c r="A23" s="3" t="s">
        <v>33</v>
      </c>
      <c r="B23" s="8">
        <v>22</v>
      </c>
      <c r="C23" s="3" t="s">
        <v>3</v>
      </c>
      <c r="D23" s="3">
        <v>4</v>
      </c>
      <c r="E23" s="3">
        <v>15450</v>
      </c>
      <c r="F23" s="3">
        <v>9000</v>
      </c>
      <c r="G23" s="3" t="s">
        <v>34</v>
      </c>
    </row>
    <row r="24" spans="1:7" x14ac:dyDescent="0.25">
      <c r="A24" s="3" t="s">
        <v>35</v>
      </c>
      <c r="B24" s="8">
        <v>23</v>
      </c>
      <c r="C24" s="3" t="s">
        <v>6</v>
      </c>
      <c r="D24" s="3">
        <v>3</v>
      </c>
      <c r="E24" s="3">
        <v>15908</v>
      </c>
      <c r="F24" s="3">
        <v>8500</v>
      </c>
      <c r="G24" s="3" t="s">
        <v>34</v>
      </c>
    </row>
    <row r="25" spans="1:7" x14ac:dyDescent="0.25">
      <c r="A25" s="3" t="s">
        <v>36</v>
      </c>
      <c r="B25" s="8">
        <v>24</v>
      </c>
      <c r="C25" s="3" t="s">
        <v>6</v>
      </c>
      <c r="D25" s="3">
        <v>4</v>
      </c>
      <c r="E25" s="3">
        <v>9717</v>
      </c>
      <c r="F25" s="3">
        <v>9000</v>
      </c>
      <c r="G25" s="3" t="s">
        <v>7</v>
      </c>
    </row>
    <row r="26" spans="1:7" x14ac:dyDescent="0.25">
      <c r="A26" s="3" t="s">
        <v>37</v>
      </c>
      <c r="B26" s="8">
        <v>25</v>
      </c>
      <c r="C26" s="3" t="s">
        <v>6</v>
      </c>
      <c r="D26" s="3">
        <v>3</v>
      </c>
      <c r="E26" s="3">
        <v>6425</v>
      </c>
      <c r="F26" s="3">
        <v>3000</v>
      </c>
      <c r="G26" s="3" t="s">
        <v>7</v>
      </c>
    </row>
    <row r="27" spans="1:7" x14ac:dyDescent="0.25">
      <c r="A27" s="3" t="s">
        <v>38</v>
      </c>
      <c r="B27" s="8">
        <v>26</v>
      </c>
      <c r="C27" s="3" t="s">
        <v>24</v>
      </c>
      <c r="D27" s="3">
        <v>4</v>
      </c>
      <c r="E27" s="3">
        <v>6026</v>
      </c>
      <c r="F27" s="3">
        <v>4650</v>
      </c>
      <c r="G27" s="3" t="s">
        <v>4</v>
      </c>
    </row>
    <row r="28" spans="1:7" x14ac:dyDescent="0.25">
      <c r="A28" s="3" t="s">
        <v>39</v>
      </c>
      <c r="B28" s="8">
        <v>27</v>
      </c>
      <c r="C28" s="3" t="s">
        <v>3</v>
      </c>
      <c r="D28" s="3">
        <v>4</v>
      </c>
      <c r="E28" s="3">
        <v>7750</v>
      </c>
      <c r="F28" s="3">
        <v>15000</v>
      </c>
      <c r="G28" s="3" t="s">
        <v>7</v>
      </c>
    </row>
    <row r="29" spans="1:7" x14ac:dyDescent="0.25">
      <c r="A29" s="3" t="s">
        <v>40</v>
      </c>
      <c r="B29" s="8">
        <v>28</v>
      </c>
      <c r="C29" s="3" t="s">
        <v>24</v>
      </c>
      <c r="D29" s="3">
        <v>1</v>
      </c>
      <c r="E29" s="3">
        <v>3817</v>
      </c>
      <c r="F29" s="3">
        <v>2000</v>
      </c>
      <c r="G29" s="3" t="s">
        <v>7</v>
      </c>
    </row>
    <row r="30" spans="1:7" x14ac:dyDescent="0.25">
      <c r="A30" s="3" t="s">
        <v>41</v>
      </c>
      <c r="B30" s="8">
        <v>29</v>
      </c>
      <c r="C30" s="3" t="s">
        <v>3</v>
      </c>
      <c r="D30" s="3">
        <v>1</v>
      </c>
      <c r="E30" s="3">
        <v>8272</v>
      </c>
      <c r="F30" s="3">
        <v>4500</v>
      </c>
      <c r="G30" s="3" t="s">
        <v>42</v>
      </c>
    </row>
    <row r="31" spans="1:7" x14ac:dyDescent="0.25">
      <c r="A31" s="3" t="s">
        <v>43</v>
      </c>
      <c r="B31" s="8">
        <v>30</v>
      </c>
      <c r="C31" s="3" t="s">
        <v>6</v>
      </c>
      <c r="D31" s="3">
        <v>5</v>
      </c>
      <c r="E31" s="3">
        <v>33967</v>
      </c>
      <c r="F31" s="3">
        <v>25000</v>
      </c>
      <c r="G31" s="3" t="s">
        <v>14</v>
      </c>
    </row>
    <row r="32" spans="1:7" x14ac:dyDescent="0.25">
      <c r="A32" s="3" t="s">
        <v>44</v>
      </c>
      <c r="B32" s="8">
        <v>31</v>
      </c>
      <c r="C32" s="3" t="s">
        <v>6</v>
      </c>
      <c r="D32" s="3">
        <v>5</v>
      </c>
      <c r="E32" s="3">
        <v>22342</v>
      </c>
      <c r="F32" s="3">
        <v>14500</v>
      </c>
      <c r="G32" s="3" t="s">
        <v>45</v>
      </c>
    </row>
    <row r="33" spans="1:7" x14ac:dyDescent="0.25">
      <c r="A33" s="3" t="s">
        <v>46</v>
      </c>
      <c r="B33" s="8">
        <v>32</v>
      </c>
      <c r="C33" s="3" t="s">
        <v>6</v>
      </c>
      <c r="D33" s="3">
        <v>3</v>
      </c>
      <c r="E33" s="3">
        <v>10542</v>
      </c>
      <c r="F33" s="3">
        <v>10000</v>
      </c>
      <c r="G33" s="3" t="s">
        <v>10</v>
      </c>
    </row>
    <row r="34" spans="1:7" x14ac:dyDescent="0.25">
      <c r="A34" s="3" t="s">
        <v>47</v>
      </c>
      <c r="B34" s="8">
        <v>33</v>
      </c>
      <c r="C34" s="3" t="s">
        <v>3</v>
      </c>
      <c r="D34" s="3">
        <v>5</v>
      </c>
      <c r="E34" s="3">
        <v>13333</v>
      </c>
      <c r="F34" s="3">
        <v>3000</v>
      </c>
      <c r="G34" s="3" t="s">
        <v>10</v>
      </c>
    </row>
    <row r="35" spans="1:7" x14ac:dyDescent="0.25">
      <c r="A35" s="3" t="s">
        <v>48</v>
      </c>
      <c r="B35" s="8">
        <v>34</v>
      </c>
      <c r="C35" s="3" t="s">
        <v>3</v>
      </c>
      <c r="D35" s="3">
        <v>2</v>
      </c>
      <c r="E35" s="3">
        <v>28303</v>
      </c>
      <c r="F35" s="3">
        <v>45000</v>
      </c>
      <c r="G35" s="3" t="s">
        <v>45</v>
      </c>
    </row>
    <row r="36" spans="1:7" x14ac:dyDescent="0.25">
      <c r="A36" s="3" t="s">
        <v>49</v>
      </c>
      <c r="B36" s="8">
        <v>35</v>
      </c>
      <c r="C36" s="3" t="s">
        <v>6</v>
      </c>
      <c r="D36" s="3">
        <v>3</v>
      </c>
      <c r="E36" s="3">
        <v>15502</v>
      </c>
      <c r="F36" s="3">
        <v>3500</v>
      </c>
      <c r="G36" s="3" t="s">
        <v>4</v>
      </c>
    </row>
    <row r="37" spans="1:7" x14ac:dyDescent="0.25">
      <c r="A37" s="3" t="s">
        <v>50</v>
      </c>
      <c r="B37" s="8">
        <v>36</v>
      </c>
      <c r="C37" s="3" t="s">
        <v>6</v>
      </c>
      <c r="D37" s="3">
        <v>4</v>
      </c>
      <c r="E37" s="3">
        <v>20792</v>
      </c>
      <c r="F37" s="3">
        <v>45000</v>
      </c>
      <c r="G37" s="3" t="s">
        <v>14</v>
      </c>
    </row>
    <row r="38" spans="1:7" x14ac:dyDescent="0.25">
      <c r="A38" s="3" t="s">
        <v>51</v>
      </c>
      <c r="B38" s="8">
        <v>37</v>
      </c>
      <c r="C38" s="3" t="s">
        <v>24</v>
      </c>
      <c r="D38" s="3">
        <v>4</v>
      </c>
      <c r="E38" s="3">
        <v>6833</v>
      </c>
      <c r="F38" s="3">
        <v>4000</v>
      </c>
      <c r="G38" s="3" t="s">
        <v>10</v>
      </c>
    </row>
    <row r="39" spans="1:7" x14ac:dyDescent="0.25">
      <c r="A39" s="3" t="s">
        <v>52</v>
      </c>
      <c r="B39" s="8">
        <v>38</v>
      </c>
      <c r="C39" s="3" t="s">
        <v>6</v>
      </c>
      <c r="D39" s="3">
        <v>3</v>
      </c>
      <c r="E39" s="3">
        <v>23750</v>
      </c>
      <c r="F39" s="3">
        <v>15000</v>
      </c>
      <c r="G39" s="3" t="s">
        <v>4</v>
      </c>
    </row>
    <row r="40" spans="1:7" x14ac:dyDescent="0.25">
      <c r="A40" s="3" t="s">
        <v>53</v>
      </c>
      <c r="B40" s="8">
        <v>39</v>
      </c>
      <c r="C40" s="3" t="s">
        <v>3</v>
      </c>
      <c r="D40" s="3">
        <v>1</v>
      </c>
      <c r="E40" s="3">
        <v>6833</v>
      </c>
      <c r="F40" s="3">
        <v>3000</v>
      </c>
      <c r="G40" s="3" t="s">
        <v>14</v>
      </c>
    </row>
    <row r="41" spans="1:7" x14ac:dyDescent="0.25">
      <c r="A41" s="3" t="s">
        <v>54</v>
      </c>
      <c r="B41" s="8">
        <v>40</v>
      </c>
      <c r="C41" s="3" t="s">
        <v>6</v>
      </c>
      <c r="D41" s="3">
        <v>1</v>
      </c>
      <c r="E41" s="3">
        <v>6058</v>
      </c>
      <c r="F41" s="3">
        <v>3100</v>
      </c>
      <c r="G41" s="3" t="s">
        <v>14</v>
      </c>
    </row>
    <row r="42" spans="1:7" x14ac:dyDescent="0.25">
      <c r="A42" s="3" t="s">
        <v>55</v>
      </c>
      <c r="B42" s="8">
        <v>41</v>
      </c>
      <c r="C42" s="3" t="s">
        <v>6</v>
      </c>
      <c r="D42" s="3">
        <v>5</v>
      </c>
      <c r="E42" s="3">
        <v>19333</v>
      </c>
      <c r="F42" s="3">
        <v>6000</v>
      </c>
      <c r="G42" s="3" t="s">
        <v>14</v>
      </c>
    </row>
    <row r="43" spans="1:7" x14ac:dyDescent="0.25">
      <c r="A43" s="3" t="s">
        <v>56</v>
      </c>
      <c r="B43" s="8">
        <v>42</v>
      </c>
      <c r="C43" s="3" t="s">
        <v>13</v>
      </c>
      <c r="D43" s="3">
        <v>5</v>
      </c>
      <c r="E43" s="3">
        <v>19917</v>
      </c>
      <c r="F43" s="3">
        <v>10000</v>
      </c>
      <c r="G43" s="3" t="s">
        <v>4</v>
      </c>
    </row>
    <row r="44" spans="1:7" x14ac:dyDescent="0.25">
      <c r="A44" s="3" t="s">
        <v>57</v>
      </c>
      <c r="B44" s="8">
        <v>43</v>
      </c>
      <c r="C44" s="3" t="s">
        <v>6</v>
      </c>
      <c r="D44" s="3">
        <v>3</v>
      </c>
      <c r="E44" s="3">
        <v>18167</v>
      </c>
      <c r="F44" s="3">
        <v>8000</v>
      </c>
      <c r="G44" s="3" t="s">
        <v>14</v>
      </c>
    </row>
    <row r="45" spans="1:7" x14ac:dyDescent="0.25">
      <c r="A45" s="3" t="s">
        <v>58</v>
      </c>
      <c r="B45" s="8">
        <v>44</v>
      </c>
      <c r="C45" s="3" t="s">
        <v>6</v>
      </c>
      <c r="D45" s="3">
        <v>5</v>
      </c>
      <c r="E45" s="3">
        <v>7020</v>
      </c>
      <c r="F45" s="3">
        <v>12000</v>
      </c>
      <c r="G45" s="3" t="s">
        <v>34</v>
      </c>
    </row>
    <row r="46" spans="1:7" x14ac:dyDescent="0.25">
      <c r="A46" s="3" t="s">
        <v>59</v>
      </c>
      <c r="B46" s="8">
        <v>45</v>
      </c>
      <c r="C46" s="3" t="s">
        <v>6</v>
      </c>
      <c r="D46" s="3">
        <v>4</v>
      </c>
      <c r="E46" s="3">
        <v>13042</v>
      </c>
      <c r="F46" s="3">
        <v>7500</v>
      </c>
      <c r="G46" s="3" t="s">
        <v>7</v>
      </c>
    </row>
    <row r="47" spans="1:7" x14ac:dyDescent="0.25">
      <c r="A47" s="3" t="s">
        <v>60</v>
      </c>
      <c r="B47" s="8">
        <v>46</v>
      </c>
      <c r="C47" s="3" t="s">
        <v>24</v>
      </c>
      <c r="D47" s="3">
        <v>2</v>
      </c>
      <c r="E47" s="3">
        <v>10452</v>
      </c>
      <c r="F47" s="3">
        <v>6500</v>
      </c>
      <c r="G47" s="3" t="s">
        <v>10</v>
      </c>
    </row>
    <row r="48" spans="1:7" x14ac:dyDescent="0.25">
      <c r="A48" s="3" t="s">
        <v>61</v>
      </c>
      <c r="B48" s="8">
        <v>47</v>
      </c>
      <c r="C48" s="3" t="s">
        <v>3</v>
      </c>
      <c r="D48" s="3">
        <v>2</v>
      </c>
      <c r="E48" s="3">
        <v>5000</v>
      </c>
      <c r="F48" s="3">
        <v>5000</v>
      </c>
      <c r="G48" s="3" t="s">
        <v>20</v>
      </c>
    </row>
    <row r="49" spans="1:7" x14ac:dyDescent="0.25">
      <c r="A49" s="3" t="s">
        <v>62</v>
      </c>
      <c r="B49" s="8">
        <v>48</v>
      </c>
      <c r="C49" s="3" t="s">
        <v>24</v>
      </c>
      <c r="D49" s="3">
        <v>5</v>
      </c>
      <c r="E49" s="3">
        <v>11602</v>
      </c>
      <c r="F49" s="3">
        <v>7000</v>
      </c>
      <c r="G49" s="3" t="s">
        <v>14</v>
      </c>
    </row>
    <row r="50" spans="1:7" x14ac:dyDescent="0.25">
      <c r="A50" s="3" t="s">
        <v>63</v>
      </c>
      <c r="B50" s="8">
        <v>49</v>
      </c>
      <c r="C50" s="3" t="s">
        <v>6</v>
      </c>
      <c r="D50" s="3">
        <v>6</v>
      </c>
      <c r="E50" s="3">
        <v>16042</v>
      </c>
      <c r="F50" s="3">
        <v>12500</v>
      </c>
      <c r="G50" s="3" t="s">
        <v>4</v>
      </c>
    </row>
    <row r="51" spans="1:7" x14ac:dyDescent="0.25">
      <c r="A51" s="3" t="s">
        <v>64</v>
      </c>
      <c r="B51" s="8">
        <v>50</v>
      </c>
      <c r="C51" s="3" t="s">
        <v>3</v>
      </c>
      <c r="D51" s="3">
        <v>2</v>
      </c>
      <c r="E51" s="3">
        <v>12000</v>
      </c>
      <c r="F51" s="3">
        <v>10000</v>
      </c>
      <c r="G51" s="3" t="s">
        <v>4</v>
      </c>
    </row>
    <row r="52" spans="1:7" x14ac:dyDescent="0.25">
      <c r="A52" s="3" t="s">
        <v>65</v>
      </c>
      <c r="B52" s="8">
        <v>51</v>
      </c>
      <c r="C52" s="3" t="s">
        <v>3</v>
      </c>
      <c r="D52" s="3">
        <v>2</v>
      </c>
      <c r="E52" s="3">
        <v>3133</v>
      </c>
      <c r="F52" s="3">
        <v>4000</v>
      </c>
      <c r="G52" s="3" t="s">
        <v>20</v>
      </c>
    </row>
    <row r="53" spans="1:7" x14ac:dyDescent="0.25">
      <c r="A53" s="3" t="s">
        <v>66</v>
      </c>
      <c r="B53" s="8">
        <v>52</v>
      </c>
      <c r="C53" s="3" t="s">
        <v>24</v>
      </c>
      <c r="D53" s="3">
        <v>8</v>
      </c>
      <c r="E53" s="3">
        <v>13183</v>
      </c>
      <c r="F53" s="3">
        <v>9500</v>
      </c>
      <c r="G53" s="3" t="s">
        <v>4</v>
      </c>
    </row>
    <row r="54" spans="1:7" x14ac:dyDescent="0.25">
      <c r="A54" s="3" t="s">
        <v>67</v>
      </c>
      <c r="B54" s="8">
        <v>53</v>
      </c>
      <c r="C54" s="3" t="s">
        <v>13</v>
      </c>
      <c r="D54" s="3">
        <v>3</v>
      </c>
      <c r="E54" s="3">
        <v>16805</v>
      </c>
      <c r="F54" s="3">
        <v>9660</v>
      </c>
      <c r="G54" s="3" t="s">
        <v>4</v>
      </c>
    </row>
    <row r="55" spans="1:7" x14ac:dyDescent="0.25">
      <c r="A55" s="3" t="s">
        <v>68</v>
      </c>
      <c r="B55" s="8">
        <v>54</v>
      </c>
      <c r="C55" s="3" t="s">
        <v>6</v>
      </c>
      <c r="D55" s="3">
        <v>3</v>
      </c>
      <c r="E55" s="3">
        <v>51300</v>
      </c>
      <c r="F55" s="3">
        <v>15000</v>
      </c>
      <c r="G55" s="3" t="s">
        <v>45</v>
      </c>
    </row>
    <row r="56" spans="1:7" x14ac:dyDescent="0.25">
      <c r="A56" s="3" t="s">
        <v>69</v>
      </c>
      <c r="B56" s="8">
        <v>55</v>
      </c>
      <c r="C56" s="3" t="s">
        <v>24</v>
      </c>
      <c r="D56" s="3">
        <v>5</v>
      </c>
      <c r="E56" s="3">
        <v>12542</v>
      </c>
      <c r="F56" s="3">
        <v>11000</v>
      </c>
      <c r="G56" s="3" t="s">
        <v>14</v>
      </c>
    </row>
    <row r="57" spans="1:7" x14ac:dyDescent="0.25">
      <c r="A57" s="3" t="s">
        <v>70</v>
      </c>
      <c r="B57" s="8">
        <v>56</v>
      </c>
      <c r="C57" s="3" t="s">
        <v>24</v>
      </c>
      <c r="D57" s="3">
        <v>4</v>
      </c>
      <c r="E57" s="3">
        <v>9783</v>
      </c>
      <c r="F57" s="3">
        <v>7000</v>
      </c>
      <c r="G57" s="3" t="s">
        <v>14</v>
      </c>
    </row>
    <row r="58" spans="1:7" x14ac:dyDescent="0.25">
      <c r="A58" s="3" t="s">
        <v>71</v>
      </c>
      <c r="B58" s="8">
        <v>57</v>
      </c>
      <c r="C58" s="3" t="s">
        <v>3</v>
      </c>
      <c r="D58" s="3">
        <v>4</v>
      </c>
      <c r="E58" s="3">
        <v>11653</v>
      </c>
      <c r="F58" s="3">
        <v>10000</v>
      </c>
      <c r="G58" s="3" t="s">
        <v>7</v>
      </c>
    </row>
    <row r="59" spans="1:7" x14ac:dyDescent="0.25">
      <c r="A59" s="3" t="s">
        <v>72</v>
      </c>
      <c r="B59" s="8">
        <v>58</v>
      </c>
      <c r="C59" s="3" t="s">
        <v>3</v>
      </c>
      <c r="D59" s="3">
        <v>4</v>
      </c>
      <c r="E59" s="3">
        <v>13425</v>
      </c>
      <c r="F59" s="3">
        <v>18600</v>
      </c>
      <c r="G59" s="3" t="s">
        <v>45</v>
      </c>
    </row>
    <row r="60" spans="1:7" x14ac:dyDescent="0.25">
      <c r="A60" s="3" t="s">
        <v>73</v>
      </c>
      <c r="B60" s="8">
        <v>59</v>
      </c>
      <c r="C60" s="3" t="s">
        <v>6</v>
      </c>
      <c r="D60" s="3">
        <v>5</v>
      </c>
      <c r="E60" s="3">
        <v>12467</v>
      </c>
      <c r="F60" s="3">
        <v>7000</v>
      </c>
      <c r="G60" s="3" t="s">
        <v>14</v>
      </c>
    </row>
    <row r="61" spans="1:7" x14ac:dyDescent="0.25">
      <c r="A61" s="3" t="s">
        <v>74</v>
      </c>
      <c r="B61" s="8">
        <v>60</v>
      </c>
      <c r="C61" s="3" t="s">
        <v>6</v>
      </c>
      <c r="D61" s="3">
        <v>3</v>
      </c>
      <c r="E61" s="3">
        <v>8025</v>
      </c>
      <c r="F61" s="3">
        <v>13500</v>
      </c>
      <c r="G61" s="3" t="s">
        <v>45</v>
      </c>
    </row>
    <row r="62" spans="1:7" x14ac:dyDescent="0.25">
      <c r="A62" s="3" t="s">
        <v>75</v>
      </c>
      <c r="B62" s="8">
        <v>61</v>
      </c>
      <c r="C62" s="3" t="s">
        <v>3</v>
      </c>
      <c r="D62" s="3">
        <v>7</v>
      </c>
      <c r="E62" s="3">
        <v>13850</v>
      </c>
      <c r="F62" s="3">
        <v>20000</v>
      </c>
      <c r="G62" s="3" t="s">
        <v>14</v>
      </c>
    </row>
    <row r="63" spans="1:7" x14ac:dyDescent="0.25">
      <c r="A63" s="3" t="s">
        <v>76</v>
      </c>
      <c r="B63" s="8">
        <v>62</v>
      </c>
      <c r="C63" s="3" t="s">
        <v>6</v>
      </c>
      <c r="D63" s="3">
        <v>5</v>
      </c>
      <c r="E63" s="3">
        <v>20792</v>
      </c>
      <c r="F63" s="3">
        <v>8000</v>
      </c>
      <c r="G63" s="3" t="s">
        <v>34</v>
      </c>
    </row>
    <row r="64" spans="1:7" x14ac:dyDescent="0.25">
      <c r="A64" s="3" t="s">
        <v>77</v>
      </c>
      <c r="B64" s="8">
        <v>63</v>
      </c>
      <c r="C64" s="3" t="s">
        <v>6</v>
      </c>
      <c r="D64" s="3">
        <v>2</v>
      </c>
      <c r="E64" s="3">
        <v>8360</v>
      </c>
      <c r="F64" s="3">
        <v>5500</v>
      </c>
      <c r="G64" s="3" t="s">
        <v>14</v>
      </c>
    </row>
    <row r="65" spans="1:7" x14ac:dyDescent="0.25">
      <c r="A65" s="3" t="s">
        <v>78</v>
      </c>
      <c r="B65" s="8">
        <v>64</v>
      </c>
      <c r="C65" s="3" t="s">
        <v>24</v>
      </c>
      <c r="D65" s="3">
        <v>3</v>
      </c>
      <c r="E65" s="3">
        <v>18975</v>
      </c>
      <c r="F65" s="3">
        <v>14500</v>
      </c>
      <c r="G65" s="3" t="s">
        <v>45</v>
      </c>
    </row>
    <row r="66" spans="1:7" x14ac:dyDescent="0.25">
      <c r="A66" s="3" t="s">
        <v>79</v>
      </c>
      <c r="B66" s="8">
        <v>65</v>
      </c>
      <c r="C66" s="3" t="s">
        <v>24</v>
      </c>
      <c r="D66" s="3">
        <v>4</v>
      </c>
      <c r="E66" s="3">
        <v>9523</v>
      </c>
      <c r="F66" s="3">
        <v>3870</v>
      </c>
      <c r="G66" s="3" t="s">
        <v>14</v>
      </c>
    </row>
    <row r="67" spans="1:7" x14ac:dyDescent="0.25">
      <c r="A67" s="3" t="s">
        <v>80</v>
      </c>
      <c r="B67" s="8">
        <v>66</v>
      </c>
      <c r="C67" s="3" t="s">
        <v>3</v>
      </c>
      <c r="D67" s="3">
        <v>6</v>
      </c>
      <c r="E67" s="3">
        <v>31750</v>
      </c>
      <c r="F67" s="3">
        <v>30000</v>
      </c>
      <c r="G67" s="3" t="s">
        <v>4</v>
      </c>
    </row>
    <row r="68" spans="1:7" x14ac:dyDescent="0.25">
      <c r="A68" s="3" t="s">
        <v>81</v>
      </c>
      <c r="B68" s="8">
        <v>67</v>
      </c>
      <c r="C68" s="3" t="s">
        <v>3</v>
      </c>
      <c r="D68" s="3">
        <v>7</v>
      </c>
      <c r="E68" s="3">
        <v>8417</v>
      </c>
      <c r="F68" s="3">
        <v>12000</v>
      </c>
      <c r="G68" s="3" t="s">
        <v>14</v>
      </c>
    </row>
    <row r="69" spans="1:7" x14ac:dyDescent="0.25">
      <c r="A69" s="3" t="s">
        <v>82</v>
      </c>
      <c r="B69" s="8">
        <v>68</v>
      </c>
      <c r="C69" s="3" t="s">
        <v>24</v>
      </c>
      <c r="D69" s="3">
        <v>3</v>
      </c>
      <c r="E69" s="3">
        <v>8680</v>
      </c>
      <c r="F69" s="3">
        <v>4060</v>
      </c>
      <c r="G69" s="3" t="s">
        <v>14</v>
      </c>
    </row>
    <row r="70" spans="1:7" x14ac:dyDescent="0.25">
      <c r="A70" s="3" t="s">
        <v>83</v>
      </c>
      <c r="B70" s="8">
        <v>69</v>
      </c>
      <c r="C70" s="3" t="s">
        <v>13</v>
      </c>
      <c r="D70" s="3">
        <v>4</v>
      </c>
      <c r="E70" s="3">
        <v>6167</v>
      </c>
      <c r="F70" s="3">
        <v>3000</v>
      </c>
      <c r="G70" s="3" t="s">
        <v>14</v>
      </c>
    </row>
    <row r="71" spans="1:7" x14ac:dyDescent="0.25">
      <c r="A71" s="3" t="s">
        <v>84</v>
      </c>
      <c r="B71" s="8">
        <v>70</v>
      </c>
      <c r="C71" s="3" t="s">
        <v>6</v>
      </c>
      <c r="D71" s="3">
        <v>6</v>
      </c>
      <c r="E71" s="3">
        <v>10345</v>
      </c>
      <c r="F71" s="3">
        <v>12500</v>
      </c>
      <c r="G71" s="3" t="s">
        <v>4</v>
      </c>
    </row>
    <row r="72" spans="1:7" x14ac:dyDescent="0.25">
      <c r="A72" s="3" t="s">
        <v>85</v>
      </c>
      <c r="B72" s="8">
        <v>71</v>
      </c>
      <c r="C72" s="3" t="s">
        <v>3</v>
      </c>
      <c r="D72" s="3">
        <v>5</v>
      </c>
      <c r="E72" s="3">
        <v>9250</v>
      </c>
      <c r="F72" s="3">
        <v>16000</v>
      </c>
      <c r="G72" s="3" t="s">
        <v>7</v>
      </c>
    </row>
    <row r="73" spans="1:7" x14ac:dyDescent="0.25">
      <c r="A73" s="3" t="s">
        <v>86</v>
      </c>
      <c r="B73" s="8">
        <v>72</v>
      </c>
      <c r="C73" s="3" t="s">
        <v>3</v>
      </c>
      <c r="D73" s="3">
        <v>2</v>
      </c>
      <c r="E73" s="3">
        <v>17237</v>
      </c>
      <c r="F73" s="3">
        <v>7540</v>
      </c>
      <c r="G73" s="3" t="s">
        <v>45</v>
      </c>
    </row>
    <row r="74" spans="1:7" x14ac:dyDescent="0.25">
      <c r="A74" s="3" t="s">
        <v>87</v>
      </c>
      <c r="B74" s="8">
        <v>73</v>
      </c>
      <c r="C74" s="3" t="s">
        <v>13</v>
      </c>
      <c r="D74" s="3">
        <v>6</v>
      </c>
      <c r="E74" s="3">
        <v>17148</v>
      </c>
      <c r="F74" s="3">
        <v>20600</v>
      </c>
      <c r="G74" s="3" t="s">
        <v>14</v>
      </c>
    </row>
    <row r="75" spans="1:7" x14ac:dyDescent="0.25">
      <c r="A75" s="3" t="s">
        <v>88</v>
      </c>
      <c r="B75" s="8">
        <v>74</v>
      </c>
      <c r="C75" s="3" t="s">
        <v>6</v>
      </c>
      <c r="D75" s="3">
        <v>1</v>
      </c>
      <c r="E75" s="3">
        <v>4850</v>
      </c>
      <c r="F75" s="3">
        <v>9200</v>
      </c>
      <c r="G75" s="3" t="s">
        <v>34</v>
      </c>
    </row>
    <row r="76" spans="1:7" x14ac:dyDescent="0.25">
      <c r="A76" s="3" t="s">
        <v>89</v>
      </c>
      <c r="B76" s="8">
        <v>75</v>
      </c>
      <c r="C76" s="3" t="s">
        <v>13</v>
      </c>
      <c r="D76" s="3">
        <v>4</v>
      </c>
      <c r="E76" s="3">
        <v>10158</v>
      </c>
      <c r="F76" s="3">
        <v>9700</v>
      </c>
      <c r="G76" s="3" t="s">
        <v>4</v>
      </c>
    </row>
    <row r="77" spans="1:7" x14ac:dyDescent="0.25">
      <c r="A77" s="3" t="s">
        <v>90</v>
      </c>
      <c r="B77" s="8">
        <v>76</v>
      </c>
      <c r="C77" s="3" t="s">
        <v>13</v>
      </c>
      <c r="D77" s="3">
        <v>5</v>
      </c>
      <c r="E77" s="3">
        <v>13875</v>
      </c>
      <c r="F77" s="3">
        <v>9000</v>
      </c>
      <c r="G77" s="3" t="s">
        <v>34</v>
      </c>
    </row>
    <row r="78" spans="1:7" x14ac:dyDescent="0.25">
      <c r="A78" s="3" t="s">
        <v>91</v>
      </c>
      <c r="B78" s="8">
        <v>77</v>
      </c>
      <c r="C78" s="3" t="s">
        <v>6</v>
      </c>
      <c r="D78" s="3">
        <v>4</v>
      </c>
      <c r="E78" s="3">
        <v>7055</v>
      </c>
      <c r="F78" s="3">
        <v>7589</v>
      </c>
      <c r="G78" s="3" t="s">
        <v>34</v>
      </c>
    </row>
    <row r="79" spans="1:7" x14ac:dyDescent="0.25">
      <c r="A79" s="3" t="s">
        <v>92</v>
      </c>
      <c r="B79" s="8">
        <v>78</v>
      </c>
      <c r="C79" s="3" t="s">
        <v>13</v>
      </c>
      <c r="D79" s="3">
        <v>5</v>
      </c>
      <c r="E79" s="3">
        <v>16417</v>
      </c>
      <c r="F79" s="3">
        <v>25000</v>
      </c>
      <c r="G79" s="3" t="s">
        <v>4</v>
      </c>
    </row>
    <row r="80" spans="1:7" x14ac:dyDescent="0.25">
      <c r="A80" s="3" t="s">
        <v>93</v>
      </c>
      <c r="B80" s="8">
        <v>79</v>
      </c>
      <c r="C80" s="3" t="s">
        <v>13</v>
      </c>
      <c r="D80" s="3">
        <v>8</v>
      </c>
      <c r="E80" s="3">
        <v>17005</v>
      </c>
      <c r="F80" s="3">
        <v>15845</v>
      </c>
      <c r="G80" s="3" t="s">
        <v>14</v>
      </c>
    </row>
    <row r="81" spans="1:7" x14ac:dyDescent="0.25">
      <c r="A81" s="3" t="s">
        <v>94</v>
      </c>
      <c r="B81" s="8">
        <v>80</v>
      </c>
      <c r="C81" s="3" t="s">
        <v>13</v>
      </c>
      <c r="D81" s="3">
        <v>5</v>
      </c>
      <c r="E81" s="3">
        <v>9283</v>
      </c>
      <c r="F81" s="3">
        <v>6500</v>
      </c>
      <c r="G81" s="3" t="s">
        <v>7</v>
      </c>
    </row>
    <row r="82" spans="1:7" x14ac:dyDescent="0.25">
      <c r="A82" s="3" t="s">
        <v>95</v>
      </c>
      <c r="B82" s="8">
        <v>81</v>
      </c>
      <c r="C82" s="3" t="s">
        <v>6</v>
      </c>
      <c r="D82" s="3">
        <v>8</v>
      </c>
      <c r="E82" s="3">
        <v>11250</v>
      </c>
      <c r="F82" s="3">
        <v>18500</v>
      </c>
      <c r="G82" s="3" t="s">
        <v>14</v>
      </c>
    </row>
    <row r="83" spans="1:7" x14ac:dyDescent="0.25">
      <c r="A83" s="3" t="s">
        <v>96</v>
      </c>
      <c r="B83" s="8">
        <v>82</v>
      </c>
      <c r="C83" s="3" t="s">
        <v>6</v>
      </c>
      <c r="D83" s="3">
        <v>2</v>
      </c>
      <c r="E83" s="3">
        <v>10082</v>
      </c>
      <c r="F83" s="3">
        <v>7900</v>
      </c>
      <c r="G83" s="3" t="s">
        <v>10</v>
      </c>
    </row>
    <row r="84" spans="1:7" x14ac:dyDescent="0.25">
      <c r="A84" s="3" t="s">
        <v>97</v>
      </c>
      <c r="B84" s="8">
        <v>83</v>
      </c>
      <c r="C84" s="3" t="s">
        <v>24</v>
      </c>
      <c r="D84" s="3">
        <v>2</v>
      </c>
      <c r="E84" s="3">
        <v>6250</v>
      </c>
      <c r="F84" s="3">
        <v>7000</v>
      </c>
      <c r="G84" s="3" t="s">
        <v>7</v>
      </c>
    </row>
    <row r="85" spans="1:7" x14ac:dyDescent="0.25">
      <c r="A85" s="3" t="s">
        <v>98</v>
      </c>
      <c r="B85" s="8">
        <v>84</v>
      </c>
      <c r="C85" s="3" t="s">
        <v>3</v>
      </c>
      <c r="D85" s="3">
        <v>7</v>
      </c>
      <c r="E85" s="3">
        <v>18500</v>
      </c>
      <c r="F85" s="3">
        <v>12000</v>
      </c>
      <c r="G85" s="3" t="s">
        <v>10</v>
      </c>
    </row>
    <row r="86" spans="1:7" x14ac:dyDescent="0.25">
      <c r="A86" s="3" t="s">
        <v>99</v>
      </c>
      <c r="B86" s="8">
        <v>85</v>
      </c>
      <c r="C86" s="3" t="s">
        <v>6</v>
      </c>
      <c r="D86" s="3">
        <v>1</v>
      </c>
      <c r="E86" s="3">
        <v>6358</v>
      </c>
      <c r="F86" s="3">
        <v>9000</v>
      </c>
      <c r="G86" s="3" t="s">
        <v>4</v>
      </c>
    </row>
    <row r="87" spans="1:7" x14ac:dyDescent="0.25">
      <c r="A87" s="3" t="s">
        <v>100</v>
      </c>
      <c r="B87" s="8">
        <v>86</v>
      </c>
      <c r="C87" s="3" t="s">
        <v>6</v>
      </c>
      <c r="D87" s="3">
        <v>1</v>
      </c>
      <c r="E87" s="3">
        <v>1457</v>
      </c>
      <c r="F87" s="3">
        <v>680</v>
      </c>
      <c r="G87" s="3" t="s">
        <v>7</v>
      </c>
    </row>
    <row r="88" spans="1:7" x14ac:dyDescent="0.25">
      <c r="A88" s="3" t="s">
        <v>101</v>
      </c>
      <c r="B88" s="8">
        <v>87</v>
      </c>
      <c r="C88" s="3" t="s">
        <v>13</v>
      </c>
      <c r="D88" s="3">
        <v>4</v>
      </c>
      <c r="E88" s="3">
        <v>17055</v>
      </c>
      <c r="F88" s="3">
        <v>20000</v>
      </c>
      <c r="G88" s="3" t="s">
        <v>4</v>
      </c>
    </row>
    <row r="89" spans="1:7" x14ac:dyDescent="0.25">
      <c r="A89" s="3" t="s">
        <v>102</v>
      </c>
      <c r="B89" s="8">
        <v>88</v>
      </c>
      <c r="C89" s="3" t="s">
        <v>6</v>
      </c>
      <c r="D89" s="3">
        <v>1</v>
      </c>
      <c r="E89" s="3">
        <v>7125</v>
      </c>
      <c r="F89" s="3">
        <v>1500</v>
      </c>
      <c r="G89" s="3" t="s">
        <v>42</v>
      </c>
    </row>
    <row r="90" spans="1:7" x14ac:dyDescent="0.25">
      <c r="A90" s="3" t="s">
        <v>103</v>
      </c>
      <c r="B90" s="8">
        <v>89</v>
      </c>
      <c r="C90" s="3" t="s">
        <v>3</v>
      </c>
      <c r="D90" s="3">
        <v>5</v>
      </c>
      <c r="E90" s="3">
        <v>11333</v>
      </c>
      <c r="F90" s="3">
        <v>9500</v>
      </c>
      <c r="G90" s="3" t="s">
        <v>14</v>
      </c>
    </row>
    <row r="91" spans="1:7" x14ac:dyDescent="0.25">
      <c r="A91" s="3" t="s">
        <v>104</v>
      </c>
      <c r="B91" s="8">
        <v>90</v>
      </c>
      <c r="C91" s="3" t="s">
        <v>6</v>
      </c>
      <c r="D91" s="3">
        <v>4</v>
      </c>
      <c r="E91" s="3">
        <v>7613</v>
      </c>
      <c r="F91" s="3">
        <v>3750</v>
      </c>
      <c r="G91" s="3" t="s">
        <v>10</v>
      </c>
    </row>
    <row r="92" spans="1:7" x14ac:dyDescent="0.25">
      <c r="A92" s="3" t="s">
        <v>105</v>
      </c>
      <c r="B92" s="8">
        <v>91</v>
      </c>
      <c r="C92" s="3" t="s">
        <v>3</v>
      </c>
      <c r="D92" s="3">
        <v>2</v>
      </c>
      <c r="E92" s="3">
        <v>6792</v>
      </c>
      <c r="F92" s="3">
        <v>5000</v>
      </c>
      <c r="G92" s="3" t="s">
        <v>14</v>
      </c>
    </row>
    <row r="93" spans="1:7" x14ac:dyDescent="0.25">
      <c r="A93" s="3" t="s">
        <v>106</v>
      </c>
      <c r="B93" s="8">
        <v>92</v>
      </c>
      <c r="C93" s="3" t="s">
        <v>6</v>
      </c>
      <c r="D93" s="3">
        <v>8</v>
      </c>
      <c r="E93" s="3">
        <v>13317</v>
      </c>
      <c r="F93" s="3">
        <v>14000</v>
      </c>
      <c r="G93" s="3" t="s">
        <v>4</v>
      </c>
    </row>
    <row r="94" spans="1:7" x14ac:dyDescent="0.25">
      <c r="A94" s="3" t="s">
        <v>107</v>
      </c>
      <c r="B94" s="8">
        <v>93</v>
      </c>
      <c r="C94" s="3" t="s">
        <v>3</v>
      </c>
      <c r="D94" s="3">
        <v>4</v>
      </c>
      <c r="E94" s="3">
        <v>12017</v>
      </c>
      <c r="F94" s="3">
        <v>3500</v>
      </c>
      <c r="G94" s="3" t="s">
        <v>4</v>
      </c>
    </row>
    <row r="95" spans="1:7" x14ac:dyDescent="0.25">
      <c r="A95" s="3" t="s">
        <v>108</v>
      </c>
      <c r="B95" s="8">
        <v>94</v>
      </c>
      <c r="C95" s="3" t="s">
        <v>13</v>
      </c>
      <c r="D95" s="3">
        <v>4</v>
      </c>
      <c r="E95" s="3">
        <v>10217</v>
      </c>
      <c r="F95" s="3">
        <v>13500</v>
      </c>
      <c r="G95" s="3" t="s">
        <v>45</v>
      </c>
    </row>
    <row r="96" spans="1:7" x14ac:dyDescent="0.25">
      <c r="A96" s="3" t="s">
        <v>109</v>
      </c>
      <c r="B96" s="8">
        <v>95</v>
      </c>
      <c r="C96" s="3" t="s">
        <v>24</v>
      </c>
      <c r="D96" s="3">
        <v>5</v>
      </c>
      <c r="E96" s="3">
        <v>14521</v>
      </c>
      <c r="F96" s="3">
        <v>20300</v>
      </c>
      <c r="G96" s="3" t="s">
        <v>45</v>
      </c>
    </row>
    <row r="97" spans="1:7" x14ac:dyDescent="0.25">
      <c r="A97" s="3" t="s">
        <v>110</v>
      </c>
      <c r="B97" s="8">
        <v>96</v>
      </c>
      <c r="C97" s="3" t="s">
        <v>3</v>
      </c>
      <c r="D97" s="3">
        <v>4</v>
      </c>
      <c r="E97" s="3">
        <v>7817</v>
      </c>
      <c r="F97" s="3">
        <v>5600</v>
      </c>
      <c r="G97" s="3" t="s">
        <v>45</v>
      </c>
    </row>
    <row r="98" spans="1:7" x14ac:dyDescent="0.25">
      <c r="A98" s="3" t="s">
        <v>111</v>
      </c>
      <c r="B98" s="8">
        <v>97</v>
      </c>
      <c r="C98" s="3" t="s">
        <v>6</v>
      </c>
      <c r="D98" s="3">
        <v>1</v>
      </c>
      <c r="E98" s="3">
        <v>33750</v>
      </c>
      <c r="F98" s="3">
        <v>19800</v>
      </c>
      <c r="G98" s="3" t="s">
        <v>4</v>
      </c>
    </row>
    <row r="99" spans="1:7" x14ac:dyDescent="0.25">
      <c r="A99" s="3" t="s">
        <v>112</v>
      </c>
      <c r="B99" s="8">
        <v>98</v>
      </c>
      <c r="C99" s="3" t="s">
        <v>3</v>
      </c>
      <c r="D99" s="3">
        <v>3</v>
      </c>
      <c r="E99" s="3">
        <v>7175</v>
      </c>
      <c r="F99" s="3">
        <v>4500</v>
      </c>
      <c r="G99" s="3" t="s">
        <v>10</v>
      </c>
    </row>
    <row r="100" spans="1:7" x14ac:dyDescent="0.25">
      <c r="A100" s="3" t="s">
        <v>113</v>
      </c>
      <c r="B100" s="8">
        <v>99</v>
      </c>
      <c r="C100" s="3" t="s">
        <v>13</v>
      </c>
      <c r="D100" s="3">
        <v>6</v>
      </c>
      <c r="E100" s="3">
        <v>6592</v>
      </c>
      <c r="F100" s="3">
        <v>6000</v>
      </c>
      <c r="G100" s="3" t="s">
        <v>7</v>
      </c>
    </row>
    <row r="101" spans="1:7" x14ac:dyDescent="0.25">
      <c r="A101" s="3" t="s">
        <v>114</v>
      </c>
      <c r="B101" s="8">
        <v>100</v>
      </c>
      <c r="C101" s="3" t="s">
        <v>3</v>
      </c>
      <c r="D101" s="3">
        <v>4</v>
      </c>
      <c r="E101" s="3">
        <v>12992</v>
      </c>
      <c r="F101" s="3">
        <v>10500</v>
      </c>
      <c r="G101" s="3" t="s">
        <v>4</v>
      </c>
    </row>
    <row r="102" spans="1:7" x14ac:dyDescent="0.25">
      <c r="A102" s="3" t="s">
        <v>115</v>
      </c>
      <c r="B102" s="8">
        <v>101</v>
      </c>
      <c r="C102" s="3" t="s">
        <v>13</v>
      </c>
      <c r="D102" s="3">
        <v>6</v>
      </c>
      <c r="E102" s="3">
        <v>31223</v>
      </c>
      <c r="F102" s="3">
        <v>27000</v>
      </c>
      <c r="G102" s="3" t="s">
        <v>14</v>
      </c>
    </row>
    <row r="103" spans="1:7" x14ac:dyDescent="0.25">
      <c r="A103" s="3" t="s">
        <v>116</v>
      </c>
      <c r="B103" s="8">
        <v>102</v>
      </c>
      <c r="C103" s="3" t="s">
        <v>6</v>
      </c>
      <c r="D103" s="3">
        <v>5</v>
      </c>
      <c r="E103" s="3">
        <v>16150</v>
      </c>
      <c r="F103" s="3">
        <v>7000</v>
      </c>
      <c r="G103" s="3" t="s">
        <v>4</v>
      </c>
    </row>
    <row r="104" spans="1:7" x14ac:dyDescent="0.25">
      <c r="A104" s="3" t="s">
        <v>117</v>
      </c>
      <c r="B104" s="8">
        <v>103</v>
      </c>
      <c r="C104" s="3" t="s">
        <v>13</v>
      </c>
      <c r="D104" s="3">
        <v>4</v>
      </c>
      <c r="E104" s="3">
        <v>9133</v>
      </c>
      <c r="F104" s="3">
        <v>3500</v>
      </c>
      <c r="G104" s="3" t="s">
        <v>14</v>
      </c>
    </row>
    <row r="105" spans="1:7" x14ac:dyDescent="0.25">
      <c r="A105" s="3" t="s">
        <v>118</v>
      </c>
      <c r="B105" s="8">
        <v>104</v>
      </c>
      <c r="C105" s="3" t="s">
        <v>13</v>
      </c>
      <c r="D105" s="3">
        <v>5</v>
      </c>
      <c r="E105" s="3">
        <v>12062</v>
      </c>
      <c r="F105" s="3">
        <v>6700</v>
      </c>
      <c r="G105" s="3" t="s">
        <v>4</v>
      </c>
    </row>
    <row r="106" spans="1:7" x14ac:dyDescent="0.25">
      <c r="A106" s="3" t="s">
        <v>119</v>
      </c>
      <c r="B106" s="8">
        <v>105</v>
      </c>
      <c r="C106" s="3" t="s">
        <v>6</v>
      </c>
      <c r="D106" s="3">
        <v>8</v>
      </c>
      <c r="E106" s="3">
        <v>11969</v>
      </c>
      <c r="F106" s="3">
        <v>12650</v>
      </c>
      <c r="G106" s="3" t="s">
        <v>14</v>
      </c>
    </row>
    <row r="107" spans="1:7" x14ac:dyDescent="0.25">
      <c r="A107" s="3" t="s">
        <v>120</v>
      </c>
      <c r="B107" s="8">
        <v>106</v>
      </c>
      <c r="C107" s="3" t="s">
        <v>6</v>
      </c>
      <c r="D107" s="3">
        <v>4</v>
      </c>
      <c r="E107" s="3">
        <v>18392</v>
      </c>
      <c r="F107" s="3">
        <v>6500</v>
      </c>
      <c r="G107" s="3" t="s">
        <v>10</v>
      </c>
    </row>
    <row r="108" spans="1:7" x14ac:dyDescent="0.25">
      <c r="A108" s="3" t="s">
        <v>121</v>
      </c>
      <c r="B108" s="8">
        <v>107</v>
      </c>
      <c r="C108" s="3" t="s">
        <v>6</v>
      </c>
      <c r="D108" s="3">
        <v>8</v>
      </c>
      <c r="E108" s="3">
        <v>19775</v>
      </c>
      <c r="F108" s="3">
        <v>7680</v>
      </c>
      <c r="G108" s="3" t="s">
        <v>7</v>
      </c>
    </row>
    <row r="109" spans="1:7" x14ac:dyDescent="0.25">
      <c r="A109" s="3" t="s">
        <v>122</v>
      </c>
      <c r="B109" s="8">
        <v>108</v>
      </c>
      <c r="C109" s="3" t="s">
        <v>24</v>
      </c>
      <c r="D109" s="3">
        <v>4</v>
      </c>
      <c r="E109" s="3">
        <v>11679</v>
      </c>
      <c r="F109" s="3">
        <v>6750</v>
      </c>
      <c r="G109" s="3" t="s">
        <v>14</v>
      </c>
    </row>
    <row r="110" spans="1:7" x14ac:dyDescent="0.25">
      <c r="A110" s="3" t="s">
        <v>123</v>
      </c>
      <c r="B110" s="8">
        <v>109</v>
      </c>
      <c r="C110" s="3" t="s">
        <v>6</v>
      </c>
      <c r="D110" s="3">
        <v>2</v>
      </c>
      <c r="E110" s="3">
        <v>6450</v>
      </c>
      <c r="F110" s="3">
        <v>4000</v>
      </c>
      <c r="G110" s="3" t="s">
        <v>10</v>
      </c>
    </row>
    <row r="111" spans="1:7" x14ac:dyDescent="0.25">
      <c r="A111" s="3" t="s">
        <v>124</v>
      </c>
      <c r="B111" s="8">
        <v>110</v>
      </c>
      <c r="C111" s="3" t="s">
        <v>24</v>
      </c>
      <c r="D111" s="3">
        <v>8</v>
      </c>
      <c r="E111" s="3">
        <v>12767</v>
      </c>
      <c r="F111" s="3">
        <v>12000</v>
      </c>
      <c r="G111" s="3" t="s">
        <v>7</v>
      </c>
    </row>
    <row r="112" spans="1:7" x14ac:dyDescent="0.25">
      <c r="A112" s="3" t="s">
        <v>125</v>
      </c>
      <c r="B112" s="8">
        <v>111</v>
      </c>
      <c r="C112" s="3" t="s">
        <v>24</v>
      </c>
      <c r="D112" s="3">
        <v>3</v>
      </c>
      <c r="E112" s="3">
        <v>5029</v>
      </c>
      <c r="F112" s="3">
        <v>4500</v>
      </c>
      <c r="G112" s="3" t="s">
        <v>42</v>
      </c>
    </row>
    <row r="113" spans="1:7" x14ac:dyDescent="0.25">
      <c r="A113" s="3" t="s">
        <v>126</v>
      </c>
      <c r="B113" s="8">
        <v>112</v>
      </c>
      <c r="C113" s="3" t="s">
        <v>6</v>
      </c>
      <c r="D113" s="3">
        <v>8</v>
      </c>
      <c r="E113" s="3">
        <v>14417</v>
      </c>
      <c r="F113" s="3">
        <v>10000</v>
      </c>
      <c r="G113" s="3" t="s">
        <v>14</v>
      </c>
    </row>
    <row r="114" spans="1:7" x14ac:dyDescent="0.25">
      <c r="A114" s="3" t="s">
        <v>127</v>
      </c>
      <c r="B114" s="8">
        <v>113</v>
      </c>
      <c r="C114" s="3" t="s">
        <v>3</v>
      </c>
      <c r="D114" s="3">
        <v>5</v>
      </c>
      <c r="E114" s="3">
        <v>6100</v>
      </c>
      <c r="F114" s="3">
        <v>5000</v>
      </c>
      <c r="G114" s="3" t="s">
        <v>14</v>
      </c>
    </row>
    <row r="115" spans="1:7" x14ac:dyDescent="0.25">
      <c r="A115" s="3" t="s">
        <v>128</v>
      </c>
      <c r="B115" s="8">
        <v>114</v>
      </c>
      <c r="C115" s="3" t="s">
        <v>3</v>
      </c>
      <c r="D115" s="3">
        <v>3</v>
      </c>
      <c r="E115" s="3">
        <v>18942</v>
      </c>
      <c r="F115" s="3">
        <v>28000</v>
      </c>
      <c r="G115" s="3" t="s">
        <v>4</v>
      </c>
    </row>
    <row r="116" spans="1:7" x14ac:dyDescent="0.25">
      <c r="A116" s="3" t="s">
        <v>129</v>
      </c>
      <c r="B116" s="8">
        <v>115</v>
      </c>
      <c r="C116" s="3" t="s">
        <v>24</v>
      </c>
      <c r="D116" s="3">
        <v>5</v>
      </c>
      <c r="E116" s="3">
        <v>9475</v>
      </c>
      <c r="F116" s="3">
        <v>5000</v>
      </c>
      <c r="G116" s="3" t="s">
        <v>7</v>
      </c>
    </row>
    <row r="117" spans="1:7" x14ac:dyDescent="0.25">
      <c r="A117" s="3" t="s">
        <v>130</v>
      </c>
      <c r="B117" s="8">
        <v>116</v>
      </c>
      <c r="C117" s="3" t="s">
        <v>3</v>
      </c>
      <c r="D117" s="3">
        <v>3</v>
      </c>
      <c r="E117" s="3">
        <v>8760</v>
      </c>
      <c r="F117" s="3">
        <v>9000</v>
      </c>
      <c r="G117" s="3" t="s">
        <v>14</v>
      </c>
    </row>
    <row r="118" spans="1:7" x14ac:dyDescent="0.25">
      <c r="A118" s="3" t="s">
        <v>131</v>
      </c>
      <c r="B118" s="8">
        <v>117</v>
      </c>
      <c r="C118" s="3" t="s">
        <v>24</v>
      </c>
      <c r="D118" s="3">
        <v>4</v>
      </c>
      <c r="E118" s="3">
        <v>12415</v>
      </c>
      <c r="F118" s="3">
        <v>22000</v>
      </c>
      <c r="G118" s="3" t="s">
        <v>7</v>
      </c>
    </row>
    <row r="119" spans="1:7" x14ac:dyDescent="0.25">
      <c r="A119" s="3" t="s">
        <v>132</v>
      </c>
      <c r="B119" s="8">
        <v>118</v>
      </c>
      <c r="C119" s="3" t="s">
        <v>3</v>
      </c>
      <c r="D119" s="3">
        <v>5</v>
      </c>
      <c r="E119" s="3">
        <v>16667</v>
      </c>
      <c r="F119" s="3">
        <v>8500</v>
      </c>
      <c r="G119" s="3" t="s">
        <v>7</v>
      </c>
    </row>
    <row r="120" spans="1:7" x14ac:dyDescent="0.25">
      <c r="A120" s="3" t="s">
        <v>133</v>
      </c>
      <c r="B120" s="8">
        <v>119</v>
      </c>
      <c r="C120" s="3" t="s">
        <v>13</v>
      </c>
      <c r="D120" s="3">
        <v>4</v>
      </c>
      <c r="E120" s="3">
        <v>8223</v>
      </c>
      <c r="F120" s="3">
        <v>9800</v>
      </c>
      <c r="G120" s="3" t="s">
        <v>10</v>
      </c>
    </row>
    <row r="121" spans="1:7" x14ac:dyDescent="0.25">
      <c r="A121" s="3" t="s">
        <v>134</v>
      </c>
      <c r="B121" s="8">
        <v>120</v>
      </c>
      <c r="C121" s="3" t="s">
        <v>6</v>
      </c>
      <c r="D121" s="3">
        <v>5</v>
      </c>
      <c r="E121" s="3">
        <v>10592</v>
      </c>
      <c r="F121" s="3">
        <v>8500</v>
      </c>
      <c r="G121" s="3" t="s">
        <v>10</v>
      </c>
    </row>
    <row r="122" spans="1:7" x14ac:dyDescent="0.25">
      <c r="A122" s="3" t="s">
        <v>135</v>
      </c>
      <c r="B122" s="8">
        <v>121</v>
      </c>
      <c r="C122" s="3" t="s">
        <v>6</v>
      </c>
      <c r="D122" s="3">
        <v>6</v>
      </c>
      <c r="E122" s="3">
        <v>8800</v>
      </c>
      <c r="F122" s="3">
        <v>8000</v>
      </c>
      <c r="G122" s="3" t="s">
        <v>7</v>
      </c>
    </row>
    <row r="123" spans="1:7" x14ac:dyDescent="0.25">
      <c r="A123" s="3" t="s">
        <v>136</v>
      </c>
      <c r="B123" s="8">
        <v>122</v>
      </c>
      <c r="C123" s="3" t="s">
        <v>24</v>
      </c>
      <c r="D123" s="3">
        <v>4</v>
      </c>
      <c r="E123" s="3">
        <v>7491</v>
      </c>
      <c r="F123" s="3">
        <v>8500</v>
      </c>
      <c r="G123" s="3" t="s">
        <v>10</v>
      </c>
    </row>
    <row r="124" spans="1:7" x14ac:dyDescent="0.25">
      <c r="A124" s="3" t="s">
        <v>137</v>
      </c>
      <c r="B124" s="8">
        <v>123</v>
      </c>
      <c r="C124" s="3" t="s">
        <v>3</v>
      </c>
      <c r="D124" s="3">
        <v>3</v>
      </c>
      <c r="E124" s="3">
        <v>12050</v>
      </c>
      <c r="F124" s="3">
        <v>4000</v>
      </c>
      <c r="G124" s="3" t="s">
        <v>42</v>
      </c>
    </row>
    <row r="125" spans="1:7" x14ac:dyDescent="0.25">
      <c r="A125" s="3" t="s">
        <v>138</v>
      </c>
      <c r="B125" s="8">
        <v>124</v>
      </c>
      <c r="C125" s="3" t="s">
        <v>6</v>
      </c>
      <c r="D125" s="3">
        <v>6</v>
      </c>
      <c r="E125" s="3">
        <v>9275</v>
      </c>
      <c r="F125" s="3">
        <v>4500</v>
      </c>
      <c r="G125" s="3" t="s">
        <v>7</v>
      </c>
    </row>
    <row r="126" spans="1:7" x14ac:dyDescent="0.25">
      <c r="A126" s="3" t="s">
        <v>139</v>
      </c>
      <c r="B126" s="8">
        <v>125</v>
      </c>
      <c r="C126" s="3" t="s">
        <v>6</v>
      </c>
      <c r="D126" s="3">
        <v>4</v>
      </c>
      <c r="E126" s="3">
        <v>32917</v>
      </c>
      <c r="F126" s="3">
        <v>10000</v>
      </c>
      <c r="G126" s="3" t="s">
        <v>4</v>
      </c>
    </row>
    <row r="127" spans="1:7" x14ac:dyDescent="0.25">
      <c r="A127" s="3" t="s">
        <v>140</v>
      </c>
      <c r="B127" s="8">
        <v>126</v>
      </c>
      <c r="C127" s="3" t="s">
        <v>6</v>
      </c>
      <c r="D127" s="3">
        <v>1</v>
      </c>
      <c r="E127" s="3">
        <v>9317</v>
      </c>
      <c r="F127" s="3">
        <v>12100</v>
      </c>
      <c r="G127" s="3" t="s">
        <v>7</v>
      </c>
    </row>
    <row r="128" spans="1:7" x14ac:dyDescent="0.25">
      <c r="A128" s="3" t="s">
        <v>141</v>
      </c>
      <c r="B128" s="8">
        <v>127</v>
      </c>
      <c r="C128" s="3" t="s">
        <v>6</v>
      </c>
      <c r="D128" s="3">
        <v>6</v>
      </c>
      <c r="E128" s="3">
        <v>7925</v>
      </c>
      <c r="F128" s="3">
        <v>6500</v>
      </c>
      <c r="G128" s="3" t="s">
        <v>14</v>
      </c>
    </row>
    <row r="129" spans="1:7" x14ac:dyDescent="0.25">
      <c r="A129" s="3" t="s">
        <v>142</v>
      </c>
      <c r="B129" s="8">
        <v>128</v>
      </c>
      <c r="C129" s="3" t="s">
        <v>24</v>
      </c>
      <c r="D129" s="3">
        <v>2</v>
      </c>
      <c r="E129" s="3">
        <v>13250</v>
      </c>
      <c r="F129" s="3">
        <v>8000</v>
      </c>
      <c r="G129" s="3" t="s">
        <v>4</v>
      </c>
    </row>
    <row r="130" spans="1:7" x14ac:dyDescent="0.25">
      <c r="A130" s="3" t="s">
        <v>143</v>
      </c>
      <c r="B130" s="8">
        <v>129</v>
      </c>
      <c r="C130" s="3" t="s">
        <v>13</v>
      </c>
      <c r="D130" s="3">
        <v>2</v>
      </c>
      <c r="E130" s="3">
        <v>18567</v>
      </c>
      <c r="F130" s="3">
        <v>14000</v>
      </c>
      <c r="G130" s="3" t="s">
        <v>4</v>
      </c>
    </row>
    <row r="131" spans="1:7" x14ac:dyDescent="0.25">
      <c r="A131" s="3" t="s">
        <v>144</v>
      </c>
      <c r="B131" s="8">
        <v>130</v>
      </c>
      <c r="C131" s="3" t="s">
        <v>3</v>
      </c>
      <c r="D131" s="3">
        <v>3</v>
      </c>
      <c r="E131" s="3">
        <v>9758</v>
      </c>
      <c r="F131" s="3">
        <v>4000</v>
      </c>
      <c r="G131" s="3" t="s">
        <v>7</v>
      </c>
    </row>
    <row r="132" spans="1:7" x14ac:dyDescent="0.25">
      <c r="A132" s="3" t="s">
        <v>145</v>
      </c>
      <c r="B132" s="8">
        <v>131</v>
      </c>
      <c r="C132" s="3" t="s">
        <v>6</v>
      </c>
      <c r="D132" s="3">
        <v>1</v>
      </c>
      <c r="E132" s="3">
        <v>9004</v>
      </c>
      <c r="F132" s="3">
        <v>4850</v>
      </c>
      <c r="G132" s="3" t="s">
        <v>4</v>
      </c>
    </row>
    <row r="133" spans="1:7" x14ac:dyDescent="0.25">
      <c r="A133" s="3" t="s">
        <v>146</v>
      </c>
      <c r="B133" s="8">
        <v>132</v>
      </c>
      <c r="C133" s="3" t="s">
        <v>6</v>
      </c>
      <c r="D133" s="3">
        <v>2</v>
      </c>
      <c r="E133" s="3">
        <v>8692</v>
      </c>
      <c r="F133" s="3">
        <v>5100</v>
      </c>
      <c r="G133" s="3" t="s">
        <v>4</v>
      </c>
    </row>
    <row r="134" spans="1:7" x14ac:dyDescent="0.25">
      <c r="A134" s="3" t="s">
        <v>147</v>
      </c>
      <c r="B134" s="8">
        <v>133</v>
      </c>
      <c r="C134" s="3" t="s">
        <v>13</v>
      </c>
      <c r="D134" s="3">
        <v>5</v>
      </c>
      <c r="E134" s="3">
        <v>19583</v>
      </c>
      <c r="F134" s="3">
        <v>23000</v>
      </c>
      <c r="G134" s="3" t="s">
        <v>4</v>
      </c>
    </row>
    <row r="135" spans="1:7" x14ac:dyDescent="0.25">
      <c r="A135" s="3" t="s">
        <v>148</v>
      </c>
      <c r="B135" s="8">
        <v>134</v>
      </c>
      <c r="C135" s="3" t="s">
        <v>6</v>
      </c>
      <c r="D135" s="3">
        <v>2</v>
      </c>
      <c r="E135" s="3">
        <v>4783</v>
      </c>
      <c r="F135" s="3">
        <v>4000</v>
      </c>
      <c r="G135" s="3" t="s">
        <v>7</v>
      </c>
    </row>
    <row r="136" spans="1:7" x14ac:dyDescent="0.25">
      <c r="A136" s="3" t="s">
        <v>149</v>
      </c>
      <c r="B136" s="8">
        <v>135</v>
      </c>
      <c r="C136" s="3" t="s">
        <v>3</v>
      </c>
      <c r="D136" s="3">
        <v>4</v>
      </c>
      <c r="E136" s="3">
        <v>10633</v>
      </c>
      <c r="F136" s="3">
        <v>12000</v>
      </c>
      <c r="G136" s="3" t="s">
        <v>10</v>
      </c>
    </row>
    <row r="137" spans="1:7" x14ac:dyDescent="0.25">
      <c r="A137" s="3" t="s">
        <v>150</v>
      </c>
      <c r="B137" s="8">
        <v>136</v>
      </c>
      <c r="C137" s="3" t="s">
        <v>13</v>
      </c>
      <c r="D137" s="3">
        <v>3</v>
      </c>
      <c r="E137" s="3">
        <v>12967</v>
      </c>
      <c r="F137" s="3">
        <v>35000</v>
      </c>
      <c r="G137" s="3" t="s">
        <v>7</v>
      </c>
    </row>
    <row r="138" spans="1:7" x14ac:dyDescent="0.25">
      <c r="A138" s="3" t="s">
        <v>151</v>
      </c>
      <c r="B138" s="8">
        <v>137</v>
      </c>
      <c r="C138" s="3" t="s">
        <v>13</v>
      </c>
      <c r="D138" s="3">
        <v>3</v>
      </c>
      <c r="E138" s="3">
        <v>9217</v>
      </c>
      <c r="F138" s="3">
        <v>5000</v>
      </c>
      <c r="G138" s="3" t="s">
        <v>14</v>
      </c>
    </row>
    <row r="139" spans="1:7" x14ac:dyDescent="0.25">
      <c r="A139" s="3" t="s">
        <v>152</v>
      </c>
      <c r="B139" s="8">
        <v>138</v>
      </c>
      <c r="C139" s="3" t="s">
        <v>6</v>
      </c>
      <c r="D139" s="3">
        <v>4</v>
      </c>
      <c r="E139" s="3">
        <v>6717</v>
      </c>
      <c r="F139" s="3">
        <v>3000</v>
      </c>
      <c r="G139" s="3" t="s">
        <v>45</v>
      </c>
    </row>
    <row r="140" spans="1:7" x14ac:dyDescent="0.25">
      <c r="A140" s="3" t="s">
        <v>153</v>
      </c>
      <c r="B140" s="8">
        <v>139</v>
      </c>
      <c r="C140" s="3" t="s">
        <v>3</v>
      </c>
      <c r="D140" s="3">
        <v>4</v>
      </c>
      <c r="E140" s="3">
        <v>20833</v>
      </c>
      <c r="F140" s="3">
        <v>10000</v>
      </c>
      <c r="G140" s="3" t="s">
        <v>45</v>
      </c>
    </row>
    <row r="141" spans="1:7" x14ac:dyDescent="0.25">
      <c r="A141" s="3" t="s">
        <v>154</v>
      </c>
      <c r="B141" s="8">
        <v>140</v>
      </c>
      <c r="C141" s="3" t="s">
        <v>3</v>
      </c>
      <c r="D141" s="3">
        <v>3</v>
      </c>
      <c r="E141" s="3">
        <v>6600</v>
      </c>
      <c r="F141" s="3">
        <v>6000</v>
      </c>
      <c r="G141" s="3" t="s">
        <v>4</v>
      </c>
    </row>
    <row r="142" spans="1:7" x14ac:dyDescent="0.25">
      <c r="A142" s="3" t="s">
        <v>155</v>
      </c>
      <c r="B142" s="8">
        <v>141</v>
      </c>
      <c r="C142" s="3" t="s">
        <v>24</v>
      </c>
      <c r="D142" s="3">
        <v>3</v>
      </c>
      <c r="E142" s="3">
        <v>10323</v>
      </c>
      <c r="F142" s="3">
        <v>6450</v>
      </c>
      <c r="G142" s="3" t="s">
        <v>10</v>
      </c>
    </row>
    <row r="143" spans="1:7" x14ac:dyDescent="0.25">
      <c r="A143" s="3" t="s">
        <v>156</v>
      </c>
      <c r="B143" s="8">
        <v>142</v>
      </c>
      <c r="C143" s="3" t="s">
        <v>13</v>
      </c>
      <c r="D143" s="3">
        <v>2</v>
      </c>
      <c r="E143" s="3">
        <v>4440</v>
      </c>
      <c r="F143" s="3">
        <v>4200</v>
      </c>
      <c r="G143" s="3" t="s">
        <v>10</v>
      </c>
    </row>
    <row r="144" spans="1:7" x14ac:dyDescent="0.25">
      <c r="A144" s="3" t="s">
        <v>157</v>
      </c>
      <c r="B144" s="8">
        <v>143</v>
      </c>
      <c r="C144" s="3" t="s">
        <v>24</v>
      </c>
      <c r="D144" s="3">
        <v>6</v>
      </c>
      <c r="E144" s="3">
        <v>17983</v>
      </c>
      <c r="F144" s="3">
        <v>6500</v>
      </c>
      <c r="G144" s="3" t="s">
        <v>14</v>
      </c>
    </row>
    <row r="145" spans="1:7" x14ac:dyDescent="0.25">
      <c r="A145" s="3" t="s">
        <v>158</v>
      </c>
      <c r="B145" s="8">
        <v>144</v>
      </c>
      <c r="C145" s="3" t="s">
        <v>13</v>
      </c>
      <c r="D145" s="3">
        <v>5</v>
      </c>
      <c r="E145" s="3">
        <v>7744</v>
      </c>
      <c r="F145" s="3">
        <v>4250</v>
      </c>
      <c r="G145" s="3" t="s">
        <v>42</v>
      </c>
    </row>
    <row r="146" spans="1:7" x14ac:dyDescent="0.25">
      <c r="A146" s="3" t="s">
        <v>159</v>
      </c>
      <c r="B146" s="8">
        <v>145</v>
      </c>
      <c r="C146" s="3" t="s">
        <v>6</v>
      </c>
      <c r="D146" s="3">
        <v>3</v>
      </c>
      <c r="E146" s="3">
        <v>19725</v>
      </c>
      <c r="F146" s="3">
        <v>6840</v>
      </c>
      <c r="G146" s="3" t="s">
        <v>34</v>
      </c>
    </row>
    <row r="147" spans="1:7" x14ac:dyDescent="0.25">
      <c r="A147" s="3" t="s">
        <v>160</v>
      </c>
      <c r="B147" s="8">
        <v>146</v>
      </c>
      <c r="C147" s="3" t="s">
        <v>3</v>
      </c>
      <c r="D147" s="3">
        <v>3</v>
      </c>
      <c r="E147" s="3">
        <v>8953</v>
      </c>
      <c r="F147" s="3">
        <v>4600</v>
      </c>
      <c r="G147" s="3" t="s">
        <v>14</v>
      </c>
    </row>
    <row r="148" spans="1:7" x14ac:dyDescent="0.25">
      <c r="A148" s="3" t="s">
        <v>161</v>
      </c>
      <c r="B148" s="8">
        <v>147</v>
      </c>
      <c r="C148" s="3" t="s">
        <v>3</v>
      </c>
      <c r="D148" s="3">
        <v>2</v>
      </c>
      <c r="E148" s="3">
        <v>8167</v>
      </c>
      <c r="F148" s="3">
        <v>12500</v>
      </c>
      <c r="G148" s="3" t="s">
        <v>10</v>
      </c>
    </row>
    <row r="149" spans="1:7" x14ac:dyDescent="0.25">
      <c r="A149" s="3" t="s">
        <v>162</v>
      </c>
      <c r="B149" s="8">
        <v>148</v>
      </c>
      <c r="C149" s="3" t="s">
        <v>6</v>
      </c>
      <c r="D149" s="3">
        <v>4</v>
      </c>
      <c r="E149" s="3">
        <v>10600</v>
      </c>
      <c r="F149" s="3">
        <v>5000</v>
      </c>
      <c r="G149" s="3" t="s">
        <v>10</v>
      </c>
    </row>
    <row r="150" spans="1:7" x14ac:dyDescent="0.25">
      <c r="A150" s="3" t="s">
        <v>163</v>
      </c>
      <c r="B150" s="8">
        <v>149</v>
      </c>
      <c r="C150" s="3" t="s">
        <v>6</v>
      </c>
      <c r="D150" s="3">
        <v>3</v>
      </c>
      <c r="E150" s="3">
        <v>7092</v>
      </c>
      <c r="F150" s="3">
        <v>3500</v>
      </c>
      <c r="G150" s="3" t="s">
        <v>10</v>
      </c>
    </row>
    <row r="151" spans="1:7" x14ac:dyDescent="0.25">
      <c r="A151" s="3" t="s">
        <v>164</v>
      </c>
      <c r="B151" s="8">
        <v>150</v>
      </c>
      <c r="C151" s="3" t="s">
        <v>3</v>
      </c>
      <c r="D151" s="3">
        <v>3</v>
      </c>
      <c r="E151" s="3">
        <v>14083</v>
      </c>
      <c r="F151" s="3">
        <v>7500</v>
      </c>
      <c r="G151" s="3" t="s">
        <v>4</v>
      </c>
    </row>
    <row r="152" spans="1:7" x14ac:dyDescent="0.25">
      <c r="A152" s="3" t="s">
        <v>165</v>
      </c>
      <c r="B152" s="8">
        <v>151</v>
      </c>
      <c r="C152" s="3" t="s">
        <v>13</v>
      </c>
      <c r="D152" s="3">
        <v>4</v>
      </c>
      <c r="E152" s="3">
        <v>9067</v>
      </c>
      <c r="F152" s="3">
        <v>9000</v>
      </c>
      <c r="G152" s="3" t="s">
        <v>10</v>
      </c>
    </row>
    <row r="153" spans="1:7" x14ac:dyDescent="0.25">
      <c r="A153" s="3" t="s">
        <v>166</v>
      </c>
      <c r="B153" s="8">
        <v>152</v>
      </c>
      <c r="C153" s="3" t="s">
        <v>6</v>
      </c>
      <c r="D153" s="3">
        <v>3</v>
      </c>
      <c r="E153" s="3">
        <v>10167</v>
      </c>
      <c r="F153" s="3">
        <v>12000</v>
      </c>
      <c r="G153" s="3" t="s">
        <v>14</v>
      </c>
    </row>
    <row r="154" spans="1:7" x14ac:dyDescent="0.25">
      <c r="A154" s="3" t="s">
        <v>167</v>
      </c>
      <c r="B154" s="8">
        <v>153</v>
      </c>
      <c r="C154" s="3" t="s">
        <v>3</v>
      </c>
      <c r="D154" s="3">
        <v>4</v>
      </c>
      <c r="E154" s="3">
        <v>8833</v>
      </c>
      <c r="F154" s="3">
        <v>10000</v>
      </c>
      <c r="G154" s="3" t="s">
        <v>14</v>
      </c>
    </row>
    <row r="155" spans="1:7" x14ac:dyDescent="0.25">
      <c r="A155" s="3" t="s">
        <v>168</v>
      </c>
      <c r="B155" s="8">
        <v>154</v>
      </c>
      <c r="C155" s="3" t="s">
        <v>3</v>
      </c>
      <c r="D155" s="3">
        <v>3</v>
      </c>
      <c r="E155" s="3">
        <v>18383</v>
      </c>
      <c r="F155" s="3">
        <v>17000</v>
      </c>
      <c r="G155" s="3" t="s">
        <v>45</v>
      </c>
    </row>
    <row r="156" spans="1:7" x14ac:dyDescent="0.25">
      <c r="A156" s="3" t="s">
        <v>169</v>
      </c>
      <c r="B156" s="8">
        <v>155</v>
      </c>
      <c r="C156" s="3" t="s">
        <v>6</v>
      </c>
      <c r="D156" s="3">
        <v>3</v>
      </c>
      <c r="E156" s="3">
        <v>35417</v>
      </c>
      <c r="F156" s="3">
        <v>25000</v>
      </c>
      <c r="G156" s="3" t="s">
        <v>45</v>
      </c>
    </row>
    <row r="157" spans="1:7" x14ac:dyDescent="0.25">
      <c r="A157" s="3" t="s">
        <v>170</v>
      </c>
      <c r="B157" s="8">
        <v>156</v>
      </c>
      <c r="C157" s="3" t="s">
        <v>24</v>
      </c>
      <c r="D157" s="3">
        <v>2</v>
      </c>
      <c r="E157" s="3">
        <v>6583</v>
      </c>
      <c r="F157" s="3">
        <v>5000</v>
      </c>
      <c r="G157" s="3" t="s">
        <v>42</v>
      </c>
    </row>
    <row r="158" spans="1:7" x14ac:dyDescent="0.25">
      <c r="A158" s="3" t="s">
        <v>171</v>
      </c>
      <c r="B158" s="8">
        <v>157</v>
      </c>
      <c r="C158" s="3" t="s">
        <v>24</v>
      </c>
      <c r="D158" s="3">
        <v>4</v>
      </c>
      <c r="E158" s="3">
        <v>10000</v>
      </c>
      <c r="F158" s="3">
        <v>10500</v>
      </c>
      <c r="G158" s="3" t="s">
        <v>7</v>
      </c>
    </row>
    <row r="159" spans="1:7" x14ac:dyDescent="0.25">
      <c r="A159" s="3" t="s">
        <v>172</v>
      </c>
      <c r="B159" s="8">
        <v>158</v>
      </c>
      <c r="C159" s="3" t="s">
        <v>6</v>
      </c>
      <c r="D159" s="3">
        <v>4</v>
      </c>
      <c r="E159" s="3">
        <v>8625</v>
      </c>
      <c r="F159" s="3">
        <v>7500</v>
      </c>
      <c r="G159" s="3" t="s">
        <v>14</v>
      </c>
    </row>
    <row r="160" spans="1:7" x14ac:dyDescent="0.25">
      <c r="A160" s="3" t="s">
        <v>173</v>
      </c>
      <c r="B160" s="8">
        <v>159</v>
      </c>
      <c r="C160" s="3" t="s">
        <v>13</v>
      </c>
      <c r="D160" s="3">
        <v>4</v>
      </c>
      <c r="E160" s="3">
        <v>12157</v>
      </c>
      <c r="F160" s="3">
        <v>7200</v>
      </c>
      <c r="G160" s="3" t="s">
        <v>14</v>
      </c>
    </row>
    <row r="161" spans="1:7" x14ac:dyDescent="0.25">
      <c r="A161" s="3" t="s">
        <v>174</v>
      </c>
      <c r="B161" s="8">
        <v>160</v>
      </c>
      <c r="C161" s="3" t="s">
        <v>6</v>
      </c>
      <c r="D161" s="3">
        <v>4</v>
      </c>
      <c r="E161" s="3">
        <v>10067</v>
      </c>
      <c r="F161" s="3">
        <v>5000</v>
      </c>
      <c r="G161" s="3" t="s">
        <v>10</v>
      </c>
    </row>
    <row r="162" spans="1:7" x14ac:dyDescent="0.25">
      <c r="A162" s="3" t="s">
        <v>175</v>
      </c>
      <c r="B162" s="8">
        <v>161</v>
      </c>
      <c r="C162" s="3" t="s">
        <v>6</v>
      </c>
      <c r="D162" s="3">
        <v>7</v>
      </c>
      <c r="E162" s="3">
        <v>34840</v>
      </c>
      <c r="F162" s="3">
        <v>11230</v>
      </c>
      <c r="G162" s="3" t="s">
        <v>4</v>
      </c>
    </row>
    <row r="163" spans="1:7" x14ac:dyDescent="0.25">
      <c r="A163" s="3" t="s">
        <v>176</v>
      </c>
      <c r="B163" s="8">
        <v>162</v>
      </c>
      <c r="C163" s="3" t="s">
        <v>24</v>
      </c>
      <c r="D163" s="3">
        <v>5</v>
      </c>
      <c r="E163" s="3">
        <v>9325</v>
      </c>
      <c r="F163" s="3">
        <v>8000</v>
      </c>
      <c r="G163" s="3" t="s">
        <v>14</v>
      </c>
    </row>
    <row r="164" spans="1:7" x14ac:dyDescent="0.25">
      <c r="A164" s="3" t="s">
        <v>177</v>
      </c>
      <c r="B164" s="8">
        <v>163</v>
      </c>
      <c r="C164" s="3" t="s">
        <v>3</v>
      </c>
      <c r="D164" s="3">
        <v>4</v>
      </c>
      <c r="E164" s="3">
        <v>11299</v>
      </c>
      <c r="F164" s="3">
        <v>13000</v>
      </c>
      <c r="G164" s="3" t="s">
        <v>10</v>
      </c>
    </row>
    <row r="165" spans="1:7" x14ac:dyDescent="0.25">
      <c r="A165" s="3" t="s">
        <v>178</v>
      </c>
      <c r="B165" s="8">
        <v>164</v>
      </c>
      <c r="C165" s="3" t="s">
        <v>24</v>
      </c>
      <c r="D165" s="3">
        <v>5</v>
      </c>
      <c r="E165" s="3">
        <v>17352</v>
      </c>
      <c r="F165" s="3">
        <v>7500</v>
      </c>
      <c r="G165" s="3" t="s">
        <v>45</v>
      </c>
    </row>
    <row r="166" spans="1:7" x14ac:dyDescent="0.25">
      <c r="A166" s="3" t="s">
        <v>179</v>
      </c>
      <c r="B166" s="8">
        <v>165</v>
      </c>
      <c r="C166" s="3" t="s">
        <v>3</v>
      </c>
      <c r="D166" s="3">
        <v>6</v>
      </c>
      <c r="E166" s="3">
        <v>12892</v>
      </c>
      <c r="F166" s="3">
        <v>34600</v>
      </c>
      <c r="G166" s="3" t="s">
        <v>10</v>
      </c>
    </row>
    <row r="167" spans="1:7" x14ac:dyDescent="0.25">
      <c r="A167" s="3" t="s">
        <v>180</v>
      </c>
      <c r="B167" s="8">
        <v>166</v>
      </c>
      <c r="C167" s="3" t="s">
        <v>6</v>
      </c>
      <c r="D167" s="3">
        <v>2</v>
      </c>
      <c r="E167" s="3">
        <v>5215</v>
      </c>
      <c r="F167" s="3">
        <v>5000</v>
      </c>
      <c r="G167" s="3" t="s">
        <v>45</v>
      </c>
    </row>
    <row r="168" spans="1:7" x14ac:dyDescent="0.25">
      <c r="A168" s="3" t="s">
        <v>181</v>
      </c>
      <c r="B168" s="8">
        <v>167</v>
      </c>
      <c r="C168" s="3" t="s">
        <v>6</v>
      </c>
      <c r="D168" s="3">
        <v>5</v>
      </c>
      <c r="E168" s="3">
        <v>13048</v>
      </c>
      <c r="F168" s="3">
        <v>18300</v>
      </c>
      <c r="G168" s="3" t="s">
        <v>7</v>
      </c>
    </row>
    <row r="169" spans="1:7" x14ac:dyDescent="0.25">
      <c r="A169" s="3" t="s">
        <v>182</v>
      </c>
      <c r="B169" s="8">
        <v>168</v>
      </c>
      <c r="C169" s="3" t="s">
        <v>6</v>
      </c>
      <c r="D169" s="3">
        <v>3</v>
      </c>
      <c r="E169" s="3">
        <v>19577</v>
      </c>
      <c r="F169" s="3">
        <v>17550</v>
      </c>
      <c r="G169" s="3" t="s">
        <v>45</v>
      </c>
    </row>
    <row r="170" spans="1:7" x14ac:dyDescent="0.25">
      <c r="A170" s="3" t="s">
        <v>183</v>
      </c>
      <c r="B170" s="8">
        <v>169</v>
      </c>
      <c r="C170" s="3" t="s">
        <v>3</v>
      </c>
      <c r="D170" s="3">
        <v>4</v>
      </c>
      <c r="E170" s="3">
        <v>33983</v>
      </c>
      <c r="F170" s="3">
        <v>25000</v>
      </c>
      <c r="G170" s="3" t="s">
        <v>7</v>
      </c>
    </row>
    <row r="171" spans="1:7" x14ac:dyDescent="0.25">
      <c r="A171" s="3" t="s">
        <v>184</v>
      </c>
      <c r="B171" s="8">
        <v>170</v>
      </c>
      <c r="C171" s="3" t="s">
        <v>3</v>
      </c>
      <c r="D171" s="3">
        <v>4</v>
      </c>
      <c r="E171" s="3">
        <v>10217</v>
      </c>
      <c r="F171" s="3">
        <v>23800</v>
      </c>
      <c r="G171" s="3" t="s">
        <v>14</v>
      </c>
    </row>
    <row r="172" spans="1:7" x14ac:dyDescent="0.25">
      <c r="A172" s="3" t="s">
        <v>185</v>
      </c>
      <c r="B172" s="8">
        <v>171</v>
      </c>
      <c r="C172" s="3" t="s">
        <v>6</v>
      </c>
      <c r="D172" s="3">
        <v>4</v>
      </c>
      <c r="E172" s="3">
        <v>10267</v>
      </c>
      <c r="F172" s="3">
        <v>9000</v>
      </c>
      <c r="G172" s="3" t="s">
        <v>10</v>
      </c>
    </row>
    <row r="173" spans="1:7" x14ac:dyDescent="0.25">
      <c r="A173" s="3" t="s">
        <v>186</v>
      </c>
      <c r="B173" s="8">
        <v>172</v>
      </c>
      <c r="C173" s="3" t="s">
        <v>13</v>
      </c>
      <c r="D173" s="3">
        <v>3</v>
      </c>
      <c r="E173" s="3">
        <v>23750</v>
      </c>
      <c r="F173" s="3">
        <v>17000</v>
      </c>
      <c r="G173" s="3" t="s">
        <v>7</v>
      </c>
    </row>
    <row r="174" spans="1:7" x14ac:dyDescent="0.25">
      <c r="A174" s="3" t="s">
        <v>187</v>
      </c>
      <c r="B174" s="8">
        <v>173</v>
      </c>
      <c r="C174" s="3" t="s">
        <v>13</v>
      </c>
      <c r="D174" s="3">
        <v>9</v>
      </c>
      <c r="E174" s="3">
        <v>10900</v>
      </c>
      <c r="F174" s="3">
        <v>12000</v>
      </c>
      <c r="G174" s="3" t="s">
        <v>14</v>
      </c>
    </row>
    <row r="175" spans="1:7" x14ac:dyDescent="0.25">
      <c r="A175" s="3" t="s">
        <v>188</v>
      </c>
      <c r="B175" s="8">
        <v>174</v>
      </c>
      <c r="C175" s="3" t="s">
        <v>3</v>
      </c>
      <c r="D175" s="3">
        <v>4</v>
      </c>
      <c r="E175" s="3">
        <v>19583</v>
      </c>
      <c r="F175" s="3">
        <v>4000</v>
      </c>
      <c r="G175" s="3" t="s">
        <v>4</v>
      </c>
    </row>
    <row r="176" spans="1:7" x14ac:dyDescent="0.25">
      <c r="A176" s="3" t="s">
        <v>189</v>
      </c>
      <c r="B176" s="8">
        <v>175</v>
      </c>
      <c r="C176" s="3" t="s">
        <v>3</v>
      </c>
      <c r="D176" s="3">
        <v>4</v>
      </c>
      <c r="E176" s="3">
        <v>6167</v>
      </c>
      <c r="F176" s="3">
        <v>10000</v>
      </c>
      <c r="G176" s="3" t="s">
        <v>10</v>
      </c>
    </row>
    <row r="177" spans="1:7" x14ac:dyDescent="0.25">
      <c r="A177" s="3" t="s">
        <v>190</v>
      </c>
      <c r="B177" s="8">
        <v>176</v>
      </c>
      <c r="C177" s="3" t="s">
        <v>3</v>
      </c>
      <c r="D177" s="3">
        <v>4</v>
      </c>
      <c r="E177" s="3">
        <v>26000</v>
      </c>
      <c r="F177" s="3">
        <v>12000</v>
      </c>
      <c r="G177" s="3" t="s">
        <v>45</v>
      </c>
    </row>
    <row r="178" spans="1:7" x14ac:dyDescent="0.25">
      <c r="A178" s="3" t="s">
        <v>191</v>
      </c>
      <c r="B178" s="8">
        <v>177</v>
      </c>
      <c r="C178" s="3" t="s">
        <v>3</v>
      </c>
      <c r="D178" s="3">
        <v>7</v>
      </c>
      <c r="E178" s="3">
        <v>17033</v>
      </c>
      <c r="F178" s="3">
        <v>45000</v>
      </c>
      <c r="G178" s="3" t="s">
        <v>45</v>
      </c>
    </row>
    <row r="179" spans="1:7" x14ac:dyDescent="0.25">
      <c r="A179" s="3" t="s">
        <v>192</v>
      </c>
      <c r="B179" s="8">
        <v>178</v>
      </c>
      <c r="C179" s="3" t="s">
        <v>13</v>
      </c>
      <c r="D179" s="3">
        <v>6</v>
      </c>
      <c r="E179" s="3">
        <v>23250</v>
      </c>
      <c r="F179" s="3">
        <v>30000</v>
      </c>
      <c r="G179" s="3" t="s">
        <v>45</v>
      </c>
    </row>
    <row r="180" spans="1:7" x14ac:dyDescent="0.25">
      <c r="A180" s="3" t="s">
        <v>193</v>
      </c>
      <c r="B180" s="8">
        <v>179</v>
      </c>
      <c r="C180" s="3" t="s">
        <v>6</v>
      </c>
      <c r="D180" s="3">
        <v>1</v>
      </c>
      <c r="E180" s="3">
        <v>20467</v>
      </c>
      <c r="F180" s="3">
        <v>2000</v>
      </c>
      <c r="G180" s="3" t="s">
        <v>42</v>
      </c>
    </row>
    <row r="181" spans="1:7" x14ac:dyDescent="0.25">
      <c r="A181" s="3" t="s">
        <v>194</v>
      </c>
      <c r="B181" s="8">
        <v>180</v>
      </c>
      <c r="C181" s="3" t="s">
        <v>3</v>
      </c>
      <c r="D181" s="3">
        <v>1</v>
      </c>
      <c r="E181" s="3">
        <v>3193</v>
      </c>
      <c r="F181" s="3">
        <v>2320</v>
      </c>
      <c r="G181" s="3" t="s">
        <v>42</v>
      </c>
    </row>
    <row r="182" spans="1:7" x14ac:dyDescent="0.25">
      <c r="A182" s="3" t="s">
        <v>195</v>
      </c>
      <c r="B182" s="8">
        <v>181</v>
      </c>
      <c r="C182" s="3" t="s">
        <v>3</v>
      </c>
      <c r="D182" s="3">
        <v>4</v>
      </c>
      <c r="E182" s="3">
        <v>7867</v>
      </c>
      <c r="F182" s="3">
        <v>12000</v>
      </c>
      <c r="G182" s="3" t="s">
        <v>10</v>
      </c>
    </row>
    <row r="183" spans="1:7" x14ac:dyDescent="0.25">
      <c r="A183" s="3" t="s">
        <v>196</v>
      </c>
      <c r="B183" s="8">
        <v>182</v>
      </c>
      <c r="C183" s="3" t="s">
        <v>3</v>
      </c>
      <c r="D183" s="3">
        <v>3</v>
      </c>
      <c r="E183" s="3">
        <v>20463</v>
      </c>
      <c r="F183" s="3">
        <v>10850</v>
      </c>
      <c r="G183" s="3" t="s">
        <v>14</v>
      </c>
    </row>
    <row r="184" spans="1:7" x14ac:dyDescent="0.25">
      <c r="A184" s="3" t="s">
        <v>197</v>
      </c>
      <c r="B184" s="8">
        <v>183</v>
      </c>
      <c r="C184" s="3" t="s">
        <v>24</v>
      </c>
      <c r="D184" s="3">
        <v>5</v>
      </c>
      <c r="E184" s="3">
        <v>12648</v>
      </c>
      <c r="F184" s="3">
        <v>9500</v>
      </c>
      <c r="G184" s="3" t="s">
        <v>10</v>
      </c>
    </row>
    <row r="185" spans="1:7" x14ac:dyDescent="0.25">
      <c r="A185" s="3" t="s">
        <v>198</v>
      </c>
      <c r="B185" s="8">
        <v>184</v>
      </c>
      <c r="C185" s="3" t="s">
        <v>3</v>
      </c>
      <c r="D185" s="3">
        <v>6</v>
      </c>
      <c r="E185" s="3">
        <v>19833</v>
      </c>
      <c r="F185" s="3">
        <v>14000</v>
      </c>
      <c r="G185" s="3" t="s">
        <v>10</v>
      </c>
    </row>
    <row r="186" spans="1:7" x14ac:dyDescent="0.25">
      <c r="A186" s="3" t="s">
        <v>199</v>
      </c>
      <c r="B186" s="8">
        <v>185</v>
      </c>
      <c r="C186" s="3" t="s">
        <v>3</v>
      </c>
      <c r="D186" s="3">
        <v>1</v>
      </c>
      <c r="E186" s="3">
        <v>7375</v>
      </c>
      <c r="F186" s="3">
        <v>3500</v>
      </c>
      <c r="G186" s="3" t="s">
        <v>4</v>
      </c>
    </row>
    <row r="187" spans="1:7" x14ac:dyDescent="0.25">
      <c r="A187" s="3" t="s">
        <v>200</v>
      </c>
      <c r="B187" s="8">
        <v>186</v>
      </c>
      <c r="C187" s="3" t="s">
        <v>3</v>
      </c>
      <c r="D187" s="3">
        <v>3</v>
      </c>
      <c r="E187" s="3">
        <v>7201</v>
      </c>
      <c r="F187" s="3">
        <v>5400</v>
      </c>
      <c r="G187" s="3" t="s">
        <v>7</v>
      </c>
    </row>
    <row r="188" spans="1:7" x14ac:dyDescent="0.25">
      <c r="A188" s="3" t="s">
        <v>201</v>
      </c>
      <c r="B188" s="8">
        <v>187</v>
      </c>
      <c r="C188" s="3" t="s">
        <v>3</v>
      </c>
      <c r="D188" s="3">
        <v>1</v>
      </c>
      <c r="E188" s="3">
        <v>20452</v>
      </c>
      <c r="F188" s="3">
        <v>2000</v>
      </c>
      <c r="G188" s="3" t="s">
        <v>42</v>
      </c>
    </row>
    <row r="189" spans="1:7" x14ac:dyDescent="0.25">
      <c r="A189" s="3" t="s">
        <v>202</v>
      </c>
      <c r="B189" s="8">
        <v>188</v>
      </c>
      <c r="C189" s="3" t="s">
        <v>24</v>
      </c>
      <c r="D189" s="3">
        <v>5</v>
      </c>
      <c r="E189" s="3">
        <v>16258</v>
      </c>
      <c r="F189" s="3">
        <v>18000</v>
      </c>
      <c r="G189" s="3" t="s">
        <v>14</v>
      </c>
    </row>
    <row r="190" spans="1:7" x14ac:dyDescent="0.25">
      <c r="A190" s="3" t="s">
        <v>203</v>
      </c>
      <c r="B190" s="8">
        <v>189</v>
      </c>
      <c r="C190" s="3" t="s">
        <v>6</v>
      </c>
      <c r="D190" s="3">
        <v>7</v>
      </c>
      <c r="E190" s="3">
        <v>13333</v>
      </c>
      <c r="F190" s="3">
        <v>12000</v>
      </c>
      <c r="G190" s="3" t="s">
        <v>4</v>
      </c>
    </row>
    <row r="191" spans="1:7" x14ac:dyDescent="0.25">
      <c r="A191" s="3" t="s">
        <v>204</v>
      </c>
      <c r="B191" s="8">
        <v>190</v>
      </c>
      <c r="C191" s="3" t="s">
        <v>6</v>
      </c>
      <c r="D191" s="3">
        <v>3</v>
      </c>
      <c r="E191" s="3">
        <v>5436</v>
      </c>
      <c r="F191" s="3">
        <v>4730</v>
      </c>
      <c r="G191" s="3" t="s">
        <v>4</v>
      </c>
    </row>
    <row r="192" spans="1:7" x14ac:dyDescent="0.25">
      <c r="A192" s="3" t="s">
        <v>205</v>
      </c>
      <c r="B192" s="8">
        <v>191</v>
      </c>
      <c r="C192" s="3" t="s">
        <v>3</v>
      </c>
      <c r="D192" s="3">
        <v>3</v>
      </c>
      <c r="E192" s="3">
        <v>9025</v>
      </c>
      <c r="F192" s="3">
        <v>13500</v>
      </c>
      <c r="G192" s="3" t="s">
        <v>34</v>
      </c>
    </row>
    <row r="193" spans="1:7" x14ac:dyDescent="0.25">
      <c r="A193" s="3" t="s">
        <v>206</v>
      </c>
      <c r="B193" s="8">
        <v>192</v>
      </c>
      <c r="C193" s="3" t="s">
        <v>24</v>
      </c>
      <c r="D193" s="3">
        <v>2</v>
      </c>
      <c r="E193" s="3">
        <v>4883</v>
      </c>
      <c r="F193" s="3">
        <v>5000</v>
      </c>
      <c r="G193" s="3" t="s">
        <v>10</v>
      </c>
    </row>
    <row r="194" spans="1:7" x14ac:dyDescent="0.25">
      <c r="A194" s="3" t="s">
        <v>207</v>
      </c>
      <c r="B194" s="8">
        <v>193</v>
      </c>
      <c r="C194" s="3" t="s">
        <v>6</v>
      </c>
      <c r="D194" s="3">
        <v>3</v>
      </c>
      <c r="E194" s="3">
        <v>21883</v>
      </c>
      <c r="F194" s="3">
        <v>5000</v>
      </c>
      <c r="G194" s="3" t="s">
        <v>45</v>
      </c>
    </row>
    <row r="195" spans="1:7" x14ac:dyDescent="0.25">
      <c r="A195" s="3" t="s">
        <v>208</v>
      </c>
      <c r="B195" s="8">
        <v>194</v>
      </c>
      <c r="C195" s="3" t="s">
        <v>3</v>
      </c>
      <c r="D195" s="3">
        <v>6</v>
      </c>
      <c r="E195" s="3">
        <v>10567</v>
      </c>
      <c r="F195" s="3">
        <v>5000</v>
      </c>
      <c r="G195" s="3" t="s">
        <v>14</v>
      </c>
    </row>
    <row r="196" spans="1:7" x14ac:dyDescent="0.25">
      <c r="A196" s="3" t="s">
        <v>209</v>
      </c>
      <c r="B196" s="8">
        <v>195</v>
      </c>
      <c r="C196" s="3" t="s">
        <v>24</v>
      </c>
      <c r="D196" s="3">
        <v>4</v>
      </c>
      <c r="E196" s="3">
        <v>16713</v>
      </c>
      <c r="F196" s="3">
        <v>7000</v>
      </c>
      <c r="G196" s="3" t="s">
        <v>45</v>
      </c>
    </row>
    <row r="197" spans="1:7" x14ac:dyDescent="0.25">
      <c r="A197" s="3" t="s">
        <v>210</v>
      </c>
      <c r="B197" s="8">
        <v>196</v>
      </c>
      <c r="C197" s="3" t="s">
        <v>24</v>
      </c>
      <c r="D197" s="3">
        <v>7</v>
      </c>
      <c r="E197" s="3">
        <v>14583</v>
      </c>
      <c r="F197" s="3">
        <v>16000</v>
      </c>
      <c r="G197" s="3" t="s">
        <v>10</v>
      </c>
    </row>
    <row r="198" spans="1:7" x14ac:dyDescent="0.25">
      <c r="A198" s="3" t="s">
        <v>211</v>
      </c>
      <c r="B198" s="8">
        <v>197</v>
      </c>
      <c r="C198" s="3" t="s">
        <v>13</v>
      </c>
      <c r="D198" s="3">
        <v>1</v>
      </c>
      <c r="E198" s="3">
        <v>5450</v>
      </c>
      <c r="F198" s="3">
        <v>0</v>
      </c>
      <c r="G198" s="3" t="s">
        <v>42</v>
      </c>
    </row>
    <row r="199" spans="1:7" x14ac:dyDescent="0.25">
      <c r="A199" s="3" t="s">
        <v>212</v>
      </c>
      <c r="B199" s="8">
        <v>198</v>
      </c>
      <c r="C199" s="3" t="s">
        <v>24</v>
      </c>
      <c r="D199" s="3">
        <v>2</v>
      </c>
      <c r="E199" s="3">
        <v>6681</v>
      </c>
      <c r="F199" s="3">
        <v>10350</v>
      </c>
      <c r="G199" s="3" t="s">
        <v>4</v>
      </c>
    </row>
    <row r="200" spans="1:7" x14ac:dyDescent="0.25">
      <c r="A200" s="3" t="s">
        <v>213</v>
      </c>
      <c r="B200" s="8">
        <v>199</v>
      </c>
      <c r="C200" s="3" t="s">
        <v>3</v>
      </c>
      <c r="D200" s="3">
        <v>6</v>
      </c>
      <c r="E200" s="3">
        <v>11470</v>
      </c>
      <c r="F200" s="3">
        <v>21000</v>
      </c>
      <c r="G200" s="3" t="s">
        <v>4</v>
      </c>
    </row>
    <row r="201" spans="1:7" x14ac:dyDescent="0.25">
      <c r="A201" s="3" t="s">
        <v>214</v>
      </c>
      <c r="B201" s="8">
        <v>200</v>
      </c>
      <c r="C201" s="3" t="s">
        <v>3</v>
      </c>
      <c r="D201" s="3">
        <v>3</v>
      </c>
      <c r="E201" s="3">
        <v>2992</v>
      </c>
      <c r="F201" s="3">
        <v>9500</v>
      </c>
      <c r="G201" s="3" t="s">
        <v>4</v>
      </c>
    </row>
    <row r="202" spans="1:7" x14ac:dyDescent="0.25">
      <c r="A202" s="3" t="s">
        <v>215</v>
      </c>
      <c r="B202" s="8">
        <v>201</v>
      </c>
      <c r="C202" s="3" t="s">
        <v>3</v>
      </c>
      <c r="D202" s="3">
        <v>1</v>
      </c>
      <c r="E202" s="3">
        <v>15667</v>
      </c>
      <c r="F202" s="3">
        <v>5500</v>
      </c>
      <c r="G202" s="3" t="s">
        <v>10</v>
      </c>
    </row>
    <row r="203" spans="1:7" x14ac:dyDescent="0.25">
      <c r="A203" s="3" t="s">
        <v>216</v>
      </c>
      <c r="B203" s="8">
        <v>202</v>
      </c>
      <c r="C203" s="3" t="s">
        <v>24</v>
      </c>
      <c r="D203" s="3">
        <v>2</v>
      </c>
      <c r="E203" s="3">
        <v>6317</v>
      </c>
      <c r="F203" s="3">
        <v>7100</v>
      </c>
      <c r="G203" s="3" t="s">
        <v>14</v>
      </c>
    </row>
    <row r="204" spans="1:7" x14ac:dyDescent="0.25">
      <c r="A204" s="3" t="s">
        <v>217</v>
      </c>
      <c r="B204" s="8">
        <v>203</v>
      </c>
      <c r="C204" s="3" t="s">
        <v>6</v>
      </c>
      <c r="D204" s="3">
        <v>4</v>
      </c>
      <c r="E204" s="3">
        <v>5742</v>
      </c>
      <c r="F204" s="3">
        <v>6200</v>
      </c>
      <c r="G204" s="3" t="s">
        <v>7</v>
      </c>
    </row>
    <row r="205" spans="1:7" x14ac:dyDescent="0.25">
      <c r="A205" s="3" t="s">
        <v>218</v>
      </c>
      <c r="B205" s="8">
        <v>204</v>
      </c>
      <c r="C205" s="3" t="s">
        <v>24</v>
      </c>
      <c r="D205" s="3">
        <v>3</v>
      </c>
      <c r="E205" s="3">
        <v>7575</v>
      </c>
      <c r="F205" s="3">
        <v>4500</v>
      </c>
      <c r="G205" s="3" t="s">
        <v>10</v>
      </c>
    </row>
    <row r="206" spans="1:7" x14ac:dyDescent="0.25">
      <c r="A206" s="3" t="s">
        <v>219</v>
      </c>
      <c r="B206" s="8">
        <v>205</v>
      </c>
      <c r="C206" s="3" t="s">
        <v>6</v>
      </c>
      <c r="D206" s="3">
        <v>4</v>
      </c>
      <c r="E206" s="3">
        <v>12158</v>
      </c>
      <c r="F206" s="3">
        <v>6600</v>
      </c>
      <c r="G206" s="3" t="s">
        <v>7</v>
      </c>
    </row>
    <row r="207" spans="1:7" x14ac:dyDescent="0.25">
      <c r="A207" s="3" t="s">
        <v>220</v>
      </c>
      <c r="B207" s="8">
        <v>206</v>
      </c>
      <c r="C207" s="3" t="s">
        <v>6</v>
      </c>
      <c r="D207" s="3">
        <v>1</v>
      </c>
      <c r="E207" s="3">
        <v>3625</v>
      </c>
      <c r="F207" s="3">
        <v>1500</v>
      </c>
      <c r="G207" s="3" t="s">
        <v>42</v>
      </c>
    </row>
    <row r="208" spans="1:7" x14ac:dyDescent="0.25">
      <c r="A208" s="3" t="s">
        <v>221</v>
      </c>
      <c r="B208" s="8">
        <v>207</v>
      </c>
      <c r="C208" s="3" t="s">
        <v>24</v>
      </c>
      <c r="D208" s="3">
        <v>6</v>
      </c>
      <c r="E208" s="3">
        <v>10050</v>
      </c>
      <c r="F208" s="3">
        <v>6500</v>
      </c>
      <c r="G208" s="3" t="s">
        <v>45</v>
      </c>
    </row>
    <row r="209" spans="1:7" x14ac:dyDescent="0.25">
      <c r="A209" s="3" t="s">
        <v>222</v>
      </c>
      <c r="B209" s="8">
        <v>208</v>
      </c>
      <c r="C209" s="3" t="s">
        <v>6</v>
      </c>
      <c r="D209" s="3">
        <v>8</v>
      </c>
      <c r="E209" s="3">
        <v>10800</v>
      </c>
      <c r="F209" s="3">
        <v>15000</v>
      </c>
      <c r="G209" s="3" t="s">
        <v>14</v>
      </c>
    </row>
    <row r="210" spans="1:7" x14ac:dyDescent="0.25">
      <c r="A210" s="3" t="s">
        <v>223</v>
      </c>
      <c r="B210" s="8">
        <v>209</v>
      </c>
      <c r="C210" s="3" t="s">
        <v>6</v>
      </c>
      <c r="D210" s="3">
        <v>2</v>
      </c>
      <c r="E210" s="3">
        <v>9467</v>
      </c>
      <c r="F210" s="3">
        <v>2000</v>
      </c>
      <c r="G210" s="3" t="s">
        <v>34</v>
      </c>
    </row>
    <row r="211" spans="1:7" x14ac:dyDescent="0.25">
      <c r="A211" s="3" t="s">
        <v>224</v>
      </c>
      <c r="B211" s="8">
        <v>210</v>
      </c>
      <c r="C211" s="3" t="s">
        <v>3</v>
      </c>
      <c r="D211" s="3">
        <v>2</v>
      </c>
      <c r="E211" s="3">
        <v>11667</v>
      </c>
      <c r="F211" s="3">
        <v>5000</v>
      </c>
      <c r="G211" s="3" t="s">
        <v>10</v>
      </c>
    </row>
    <row r="212" spans="1:7" x14ac:dyDescent="0.25">
      <c r="A212" s="3" t="s">
        <v>225</v>
      </c>
      <c r="B212" s="8">
        <v>211</v>
      </c>
      <c r="C212" s="3" t="s">
        <v>3</v>
      </c>
      <c r="D212" s="3">
        <v>4</v>
      </c>
      <c r="E212" s="3">
        <v>13533</v>
      </c>
      <c r="F212" s="3">
        <v>7000</v>
      </c>
      <c r="G212" s="3" t="s">
        <v>14</v>
      </c>
    </row>
    <row r="213" spans="1:7" x14ac:dyDescent="0.25">
      <c r="A213" s="3" t="s">
        <v>226</v>
      </c>
      <c r="B213" s="8">
        <v>212</v>
      </c>
      <c r="C213" s="3" t="s">
        <v>6</v>
      </c>
      <c r="D213" s="3">
        <v>4</v>
      </c>
      <c r="E213" s="3">
        <v>20243</v>
      </c>
      <c r="F213" s="3">
        <v>10000</v>
      </c>
      <c r="G213" s="3" t="s">
        <v>4</v>
      </c>
    </row>
    <row r="214" spans="1:7" x14ac:dyDescent="0.25">
      <c r="A214" s="3" t="s">
        <v>227</v>
      </c>
      <c r="B214" s="8">
        <v>213</v>
      </c>
      <c r="C214" s="3" t="s">
        <v>13</v>
      </c>
      <c r="D214" s="3">
        <v>7</v>
      </c>
      <c r="E214" s="3">
        <v>13142</v>
      </c>
      <c r="F214" s="3">
        <v>8000</v>
      </c>
      <c r="G214" s="3" t="s">
        <v>14</v>
      </c>
    </row>
    <row r="215" spans="1:7" x14ac:dyDescent="0.25">
      <c r="A215" s="3" t="s">
        <v>228</v>
      </c>
      <c r="B215" s="8">
        <v>214</v>
      </c>
      <c r="C215" s="3" t="s">
        <v>6</v>
      </c>
      <c r="D215" s="3">
        <v>8</v>
      </c>
      <c r="E215" s="3">
        <v>26083</v>
      </c>
      <c r="F215" s="3">
        <v>40000</v>
      </c>
      <c r="G215" s="3" t="s">
        <v>45</v>
      </c>
    </row>
    <row r="216" spans="1:7" x14ac:dyDescent="0.25">
      <c r="A216" s="3" t="s">
        <v>229</v>
      </c>
      <c r="B216" s="8">
        <v>215</v>
      </c>
      <c r="C216" s="3" t="s">
        <v>3</v>
      </c>
      <c r="D216" s="3">
        <v>3</v>
      </c>
      <c r="E216" s="3">
        <v>9050</v>
      </c>
      <c r="F216" s="3">
        <v>7000</v>
      </c>
      <c r="G216" s="3" t="s">
        <v>10</v>
      </c>
    </row>
    <row r="217" spans="1:7" x14ac:dyDescent="0.25">
      <c r="A217" s="3" t="s">
        <v>230</v>
      </c>
      <c r="B217" s="8">
        <v>216</v>
      </c>
      <c r="C217" s="3" t="s">
        <v>24</v>
      </c>
      <c r="D217" s="3">
        <v>2</v>
      </c>
      <c r="E217" s="3">
        <v>10417</v>
      </c>
      <c r="F217" s="3">
        <v>5000</v>
      </c>
      <c r="G217" s="3" t="s">
        <v>7</v>
      </c>
    </row>
    <row r="218" spans="1:7" x14ac:dyDescent="0.25">
      <c r="A218" s="3" t="s">
        <v>231</v>
      </c>
      <c r="B218" s="8">
        <v>217</v>
      </c>
      <c r="C218" s="3" t="s">
        <v>6</v>
      </c>
      <c r="D218" s="3">
        <v>4</v>
      </c>
      <c r="E218" s="3">
        <v>9050</v>
      </c>
      <c r="F218" s="3">
        <v>7000</v>
      </c>
      <c r="G218" s="3" t="s">
        <v>14</v>
      </c>
    </row>
    <row r="219" spans="1:7" x14ac:dyDescent="0.25">
      <c r="A219" s="3" t="s">
        <v>232</v>
      </c>
      <c r="B219" s="8">
        <v>218</v>
      </c>
      <c r="C219" s="3" t="s">
        <v>6</v>
      </c>
      <c r="D219" s="3">
        <v>5</v>
      </c>
      <c r="E219" s="3">
        <v>7792</v>
      </c>
      <c r="F219" s="3">
        <v>10500</v>
      </c>
      <c r="G219" s="3" t="s">
        <v>10</v>
      </c>
    </row>
    <row r="220" spans="1:7" x14ac:dyDescent="0.25">
      <c r="A220" s="3" t="s">
        <v>233</v>
      </c>
      <c r="B220" s="8">
        <v>219</v>
      </c>
      <c r="C220" s="3" t="s">
        <v>6</v>
      </c>
      <c r="D220" s="3">
        <v>6</v>
      </c>
      <c r="E220" s="3">
        <v>19008</v>
      </c>
      <c r="F220" s="3">
        <v>9000</v>
      </c>
      <c r="G220" s="3" t="s">
        <v>14</v>
      </c>
    </row>
    <row r="221" spans="1:7" x14ac:dyDescent="0.25">
      <c r="A221" s="3" t="s">
        <v>234</v>
      </c>
      <c r="B221" s="8">
        <v>220</v>
      </c>
      <c r="C221" s="3" t="s">
        <v>13</v>
      </c>
      <c r="D221" s="3">
        <v>3</v>
      </c>
      <c r="E221" s="3">
        <v>11183</v>
      </c>
      <c r="F221" s="3">
        <v>4500</v>
      </c>
      <c r="G221" s="3" t="s">
        <v>7</v>
      </c>
    </row>
    <row r="222" spans="1:7" x14ac:dyDescent="0.25">
      <c r="A222" s="3" t="s">
        <v>235</v>
      </c>
      <c r="B222" s="8">
        <v>221</v>
      </c>
      <c r="C222" s="3" t="s">
        <v>6</v>
      </c>
      <c r="D222" s="3">
        <v>3</v>
      </c>
      <c r="E222" s="3">
        <v>19092</v>
      </c>
      <c r="F222" s="3">
        <v>13500</v>
      </c>
      <c r="G222" s="3" t="s">
        <v>10</v>
      </c>
    </row>
    <row r="223" spans="1:7" x14ac:dyDescent="0.25">
      <c r="A223" s="3" t="s">
        <v>236</v>
      </c>
      <c r="B223" s="8">
        <v>222</v>
      </c>
      <c r="C223" s="3" t="s">
        <v>6</v>
      </c>
      <c r="D223" s="3">
        <v>10</v>
      </c>
      <c r="E223" s="3">
        <v>13038</v>
      </c>
      <c r="F223" s="3">
        <v>26500</v>
      </c>
      <c r="G223" s="3" t="s">
        <v>4</v>
      </c>
    </row>
    <row r="224" spans="1:7" x14ac:dyDescent="0.25">
      <c r="A224" s="3" t="s">
        <v>237</v>
      </c>
      <c r="B224" s="8">
        <v>223</v>
      </c>
      <c r="C224" s="3" t="s">
        <v>24</v>
      </c>
      <c r="D224" s="3">
        <v>2</v>
      </c>
      <c r="E224" s="3">
        <v>4175</v>
      </c>
      <c r="F224" s="3">
        <v>4500</v>
      </c>
      <c r="G224" s="3" t="s">
        <v>7</v>
      </c>
    </row>
    <row r="225" spans="1:7" x14ac:dyDescent="0.25">
      <c r="A225" s="3" t="s">
        <v>238</v>
      </c>
      <c r="B225" s="8">
        <v>224</v>
      </c>
      <c r="C225" s="3" t="s">
        <v>6</v>
      </c>
      <c r="D225" s="3">
        <v>6</v>
      </c>
      <c r="E225" s="3">
        <v>17667</v>
      </c>
      <c r="F225" s="3">
        <v>12000</v>
      </c>
      <c r="G225" s="3" t="s">
        <v>4</v>
      </c>
    </row>
    <row r="226" spans="1:7" x14ac:dyDescent="0.25">
      <c r="A226" s="3" t="s">
        <v>239</v>
      </c>
      <c r="B226" s="8">
        <v>225</v>
      </c>
      <c r="C226" s="3" t="s">
        <v>3</v>
      </c>
      <c r="D226" s="3">
        <v>6</v>
      </c>
      <c r="E226" s="3">
        <v>17787</v>
      </c>
      <c r="F226" s="3">
        <v>14000</v>
      </c>
      <c r="G226" s="3" t="s">
        <v>4</v>
      </c>
    </row>
    <row r="227" spans="1:7" x14ac:dyDescent="0.25">
      <c r="A227" s="3" t="s">
        <v>240</v>
      </c>
      <c r="B227" s="8">
        <v>226</v>
      </c>
      <c r="C227" s="3" t="s">
        <v>13</v>
      </c>
      <c r="D227" s="3">
        <v>3</v>
      </c>
      <c r="E227" s="3">
        <v>11102</v>
      </c>
      <c r="F227" s="3">
        <v>7500</v>
      </c>
      <c r="G227" s="3" t="s">
        <v>10</v>
      </c>
    </row>
    <row r="228" spans="1:7" x14ac:dyDescent="0.25">
      <c r="A228" s="3" t="s">
        <v>241</v>
      </c>
      <c r="B228" s="8">
        <v>227</v>
      </c>
      <c r="C228" s="3" t="s">
        <v>24</v>
      </c>
      <c r="D228" s="3">
        <v>3</v>
      </c>
      <c r="E228" s="3">
        <v>7892</v>
      </c>
      <c r="F228" s="3">
        <v>6000</v>
      </c>
      <c r="G228" s="3" t="s">
        <v>10</v>
      </c>
    </row>
    <row r="229" spans="1:7" x14ac:dyDescent="0.25">
      <c r="A229" s="3" t="s">
        <v>242</v>
      </c>
      <c r="B229" s="8">
        <v>228</v>
      </c>
      <c r="C229" s="3" t="s">
        <v>6</v>
      </c>
      <c r="D229" s="3">
        <v>5</v>
      </c>
      <c r="E229" s="3">
        <v>19558</v>
      </c>
      <c r="F229" s="3">
        <v>8500</v>
      </c>
      <c r="G229" s="3" t="s">
        <v>4</v>
      </c>
    </row>
    <row r="230" spans="1:7" x14ac:dyDescent="0.25">
      <c r="A230" s="3" t="s">
        <v>243</v>
      </c>
      <c r="B230" s="8">
        <v>229</v>
      </c>
      <c r="C230" s="3" t="s">
        <v>24</v>
      </c>
      <c r="D230" s="3">
        <v>2</v>
      </c>
      <c r="E230" s="3">
        <v>40583</v>
      </c>
      <c r="F230" s="3">
        <v>3000</v>
      </c>
      <c r="G230" s="3" t="s">
        <v>45</v>
      </c>
    </row>
    <row r="231" spans="1:7" x14ac:dyDescent="0.25">
      <c r="A231" s="3" t="s">
        <v>244</v>
      </c>
      <c r="B231" s="8">
        <v>230</v>
      </c>
      <c r="C231" s="3" t="s">
        <v>6</v>
      </c>
      <c r="D231" s="3">
        <v>4</v>
      </c>
      <c r="E231" s="3">
        <v>8150</v>
      </c>
      <c r="F231" s="3">
        <v>7000</v>
      </c>
      <c r="G231" s="3" t="s">
        <v>7</v>
      </c>
    </row>
    <row r="232" spans="1:7" x14ac:dyDescent="0.25">
      <c r="A232" s="3" t="s">
        <v>245</v>
      </c>
      <c r="B232" s="8">
        <v>231</v>
      </c>
      <c r="C232" s="3" t="s">
        <v>6</v>
      </c>
      <c r="D232" s="3">
        <v>2</v>
      </c>
      <c r="E232" s="3">
        <v>10492</v>
      </c>
      <c r="F232" s="3">
        <v>6500</v>
      </c>
      <c r="G232" s="3" t="s">
        <v>4</v>
      </c>
    </row>
    <row r="233" spans="1:7" x14ac:dyDescent="0.25">
      <c r="A233" s="3" t="s">
        <v>246</v>
      </c>
      <c r="B233" s="8">
        <v>232</v>
      </c>
      <c r="C233" s="3" t="s">
        <v>6</v>
      </c>
      <c r="D233" s="3">
        <v>4</v>
      </c>
      <c r="E233" s="3">
        <v>11083</v>
      </c>
      <c r="F233" s="3">
        <v>7000</v>
      </c>
      <c r="G233" s="3" t="s">
        <v>34</v>
      </c>
    </row>
    <row r="234" spans="1:7" x14ac:dyDescent="0.25">
      <c r="A234" s="3" t="s">
        <v>247</v>
      </c>
      <c r="B234" s="8">
        <v>233</v>
      </c>
      <c r="C234" s="3" t="s">
        <v>3</v>
      </c>
      <c r="D234" s="3">
        <v>5</v>
      </c>
      <c r="E234" s="3">
        <v>19830</v>
      </c>
      <c r="F234" s="3">
        <v>15000</v>
      </c>
      <c r="G234" s="3" t="s">
        <v>4</v>
      </c>
    </row>
    <row r="235" spans="1:7" x14ac:dyDescent="0.25">
      <c r="A235" s="3" t="s">
        <v>248</v>
      </c>
      <c r="B235" s="8">
        <v>234</v>
      </c>
      <c r="C235" s="3" t="s">
        <v>3</v>
      </c>
      <c r="D235" s="3">
        <v>3</v>
      </c>
      <c r="E235" s="3">
        <v>7725</v>
      </c>
      <c r="F235" s="3">
        <v>6500</v>
      </c>
      <c r="G235" s="3" t="s">
        <v>14</v>
      </c>
    </row>
    <row r="236" spans="1:7" x14ac:dyDescent="0.25">
      <c r="A236" s="3" t="s">
        <v>249</v>
      </c>
      <c r="B236" s="8">
        <v>235</v>
      </c>
      <c r="C236" s="3" t="s">
        <v>6</v>
      </c>
      <c r="D236" s="3">
        <v>4</v>
      </c>
      <c r="E236" s="3">
        <v>10058</v>
      </c>
      <c r="F236" s="3">
        <v>7250</v>
      </c>
      <c r="G236" s="3" t="s">
        <v>10</v>
      </c>
    </row>
    <row r="237" spans="1:7" x14ac:dyDescent="0.25">
      <c r="A237" s="3" t="s">
        <v>250</v>
      </c>
      <c r="B237" s="8">
        <v>236</v>
      </c>
      <c r="C237" s="3" t="s">
        <v>24</v>
      </c>
      <c r="D237" s="3">
        <v>4</v>
      </c>
      <c r="E237" s="3">
        <v>18242</v>
      </c>
      <c r="F237" s="3">
        <v>7500</v>
      </c>
      <c r="G237" s="3" t="s">
        <v>14</v>
      </c>
    </row>
    <row r="238" spans="1:7" x14ac:dyDescent="0.25">
      <c r="A238" s="3" t="s">
        <v>251</v>
      </c>
      <c r="B238" s="8">
        <v>237</v>
      </c>
      <c r="C238" s="3" t="s">
        <v>3</v>
      </c>
      <c r="D238" s="3">
        <v>4</v>
      </c>
      <c r="E238" s="3">
        <v>35667</v>
      </c>
      <c r="F238" s="3">
        <v>25000</v>
      </c>
      <c r="G238" s="3" t="s">
        <v>4</v>
      </c>
    </row>
    <row r="239" spans="1:7" x14ac:dyDescent="0.25">
      <c r="A239" s="3" t="s">
        <v>252</v>
      </c>
      <c r="B239" s="8">
        <v>238</v>
      </c>
      <c r="C239" s="3" t="s">
        <v>6</v>
      </c>
      <c r="D239" s="3">
        <v>4</v>
      </c>
      <c r="E239" s="3">
        <v>12792</v>
      </c>
      <c r="F239" s="3">
        <v>6000</v>
      </c>
      <c r="G239" s="3" t="s">
        <v>14</v>
      </c>
    </row>
    <row r="240" spans="1:7" x14ac:dyDescent="0.25">
      <c r="A240" s="3" t="s">
        <v>253</v>
      </c>
      <c r="B240" s="8">
        <v>239</v>
      </c>
      <c r="C240" s="3" t="s">
        <v>3</v>
      </c>
      <c r="D240" s="3">
        <v>2</v>
      </c>
      <c r="E240" s="3">
        <v>4424</v>
      </c>
      <c r="F240" s="3">
        <v>4250</v>
      </c>
      <c r="G240" s="3" t="s">
        <v>20</v>
      </c>
    </row>
    <row r="241" spans="1:9" x14ac:dyDescent="0.25">
      <c r="A241" s="3" t="s">
        <v>254</v>
      </c>
      <c r="B241" s="8">
        <v>240</v>
      </c>
      <c r="C241" s="3" t="s">
        <v>3</v>
      </c>
      <c r="D241" s="3">
        <v>1</v>
      </c>
      <c r="E241" s="3">
        <v>7875</v>
      </c>
      <c r="F241" s="3">
        <v>3000</v>
      </c>
      <c r="G241" s="3" t="s">
        <v>7</v>
      </c>
    </row>
    <row r="242" spans="1:9" x14ac:dyDescent="0.25">
      <c r="A242" s="3" t="s">
        <v>255</v>
      </c>
      <c r="B242" s="8">
        <v>241</v>
      </c>
      <c r="C242" s="3" t="s">
        <v>6</v>
      </c>
      <c r="D242" s="3">
        <v>4</v>
      </c>
      <c r="E242" s="3">
        <v>11271</v>
      </c>
      <c r="F242" s="3">
        <v>14500</v>
      </c>
      <c r="G242" s="3" t="s">
        <v>14</v>
      </c>
    </row>
    <row r="243" spans="1:9" x14ac:dyDescent="0.25">
      <c r="A243" s="3" t="s">
        <v>256</v>
      </c>
      <c r="B243" s="8">
        <v>242</v>
      </c>
      <c r="C243" s="3" t="s">
        <v>3</v>
      </c>
      <c r="D243" s="3">
        <v>2</v>
      </c>
      <c r="E243" s="3">
        <v>12608</v>
      </c>
      <c r="F243" s="3">
        <v>5200</v>
      </c>
      <c r="G243" s="3" t="s">
        <v>4</v>
      </c>
    </row>
    <row r="244" spans="1:9" x14ac:dyDescent="0.25">
      <c r="A244" s="3" t="s">
        <v>257</v>
      </c>
      <c r="B244" s="8">
        <v>243</v>
      </c>
      <c r="C244" s="3" t="s">
        <v>13</v>
      </c>
      <c r="D244" s="3">
        <v>5</v>
      </c>
      <c r="E244" s="3">
        <v>17583</v>
      </c>
      <c r="F244" s="3">
        <v>15000</v>
      </c>
      <c r="G244" s="3" t="s">
        <v>4</v>
      </c>
    </row>
    <row r="245" spans="1:9" x14ac:dyDescent="0.25">
      <c r="A245" s="3" t="s">
        <v>258</v>
      </c>
      <c r="B245" s="8">
        <v>244</v>
      </c>
      <c r="C245" s="3" t="s">
        <v>6</v>
      </c>
      <c r="D245" s="3">
        <v>4</v>
      </c>
      <c r="E245" s="3">
        <v>14883</v>
      </c>
      <c r="F245" s="3">
        <v>5000</v>
      </c>
      <c r="G245" s="3" t="s">
        <v>4</v>
      </c>
    </row>
    <row r="246" spans="1:9" x14ac:dyDescent="0.25">
      <c r="A246" s="3" t="s">
        <v>259</v>
      </c>
      <c r="B246" s="8">
        <v>245</v>
      </c>
      <c r="C246" s="3" t="s">
        <v>3</v>
      </c>
      <c r="D246" s="3">
        <v>9</v>
      </c>
      <c r="E246" s="3">
        <v>21283</v>
      </c>
      <c r="F246" s="3">
        <v>18500</v>
      </c>
      <c r="G246" s="3" t="s">
        <v>14</v>
      </c>
    </row>
    <row r="247" spans="1:9" x14ac:dyDescent="0.25">
      <c r="A247" s="3" t="s">
        <v>260</v>
      </c>
      <c r="B247" s="8">
        <v>246</v>
      </c>
      <c r="C247" s="3" t="s">
        <v>3</v>
      </c>
      <c r="D247" s="3">
        <v>2</v>
      </c>
      <c r="E247" s="3">
        <v>11885</v>
      </c>
      <c r="F247" s="3">
        <v>12000</v>
      </c>
      <c r="G247" s="3" t="s">
        <v>14</v>
      </c>
    </row>
    <row r="248" spans="1:9" x14ac:dyDescent="0.25">
      <c r="A248" s="3" t="s">
        <v>261</v>
      </c>
      <c r="B248" s="8">
        <v>247</v>
      </c>
      <c r="C248" s="3" t="s">
        <v>13</v>
      </c>
      <c r="D248" s="3">
        <v>5</v>
      </c>
      <c r="E248" s="3">
        <v>6767</v>
      </c>
      <c r="F248" s="3">
        <v>8000</v>
      </c>
      <c r="G248" s="3" t="s">
        <v>7</v>
      </c>
      <c r="I248">
        <f>35/253</f>
        <v>0.13833992094861661</v>
      </c>
    </row>
    <row r="249" spans="1:9" x14ac:dyDescent="0.25">
      <c r="A249" s="3" t="s">
        <v>262</v>
      </c>
      <c r="B249" s="8">
        <v>248</v>
      </c>
      <c r="C249" s="3" t="s">
        <v>24</v>
      </c>
      <c r="D249" s="3">
        <v>4</v>
      </c>
      <c r="E249" s="3">
        <v>12850</v>
      </c>
      <c r="F249" s="3">
        <v>3000</v>
      </c>
      <c r="G249" s="3" t="s">
        <v>4</v>
      </c>
    </row>
    <row r="250" spans="1:9" x14ac:dyDescent="0.25">
      <c r="A250" s="3" t="s">
        <v>263</v>
      </c>
      <c r="B250" s="8">
        <v>249</v>
      </c>
      <c r="C250" s="3" t="s">
        <v>24</v>
      </c>
      <c r="D250" s="3">
        <v>6</v>
      </c>
      <c r="E250" s="3">
        <v>14175</v>
      </c>
      <c r="F250" s="3">
        <v>10000</v>
      </c>
      <c r="G250" s="3" t="s">
        <v>7</v>
      </c>
    </row>
    <row r="251" spans="1:9" x14ac:dyDescent="0.25">
      <c r="A251" s="3" t="s">
        <v>264</v>
      </c>
      <c r="B251" s="8">
        <v>250</v>
      </c>
      <c r="C251" s="3" t="s">
        <v>6</v>
      </c>
      <c r="D251" s="3">
        <v>2</v>
      </c>
      <c r="E251" s="3">
        <v>6317</v>
      </c>
      <c r="F251" s="3">
        <v>1800</v>
      </c>
      <c r="G251" s="3" t="s">
        <v>18</v>
      </c>
    </row>
    <row r="252" spans="1:9" x14ac:dyDescent="0.25">
      <c r="A252" s="3" t="s">
        <v>265</v>
      </c>
      <c r="B252" s="8">
        <v>251</v>
      </c>
      <c r="C252" s="3" t="s">
        <v>3</v>
      </c>
      <c r="D252" s="3">
        <v>3</v>
      </c>
      <c r="E252" s="3">
        <v>9074</v>
      </c>
      <c r="F252" s="3">
        <v>12605</v>
      </c>
      <c r="G252" s="3" t="s">
        <v>18</v>
      </c>
    </row>
    <row r="253" spans="1:9" x14ac:dyDescent="0.25">
      <c r="A253" s="3" t="s">
        <v>266</v>
      </c>
      <c r="B253" s="8">
        <v>252</v>
      </c>
      <c r="C253" s="3" t="s">
        <v>3</v>
      </c>
      <c r="D253" s="3">
        <v>6</v>
      </c>
      <c r="E253" s="3">
        <v>16242</v>
      </c>
      <c r="F253" s="3">
        <v>12600</v>
      </c>
      <c r="G253" s="3" t="s">
        <v>4</v>
      </c>
    </row>
    <row r="254" spans="1:9" x14ac:dyDescent="0.25">
      <c r="A254" s="3" t="s">
        <v>267</v>
      </c>
      <c r="B254" s="8">
        <v>253</v>
      </c>
      <c r="C254" s="3" t="s">
        <v>6</v>
      </c>
      <c r="D254" s="3">
        <v>4</v>
      </c>
      <c r="E254" s="3">
        <v>8633</v>
      </c>
      <c r="F254" s="3">
        <v>8750</v>
      </c>
      <c r="G254" s="3" t="s">
        <v>10</v>
      </c>
    </row>
  </sheetData>
  <sortState ref="A2:G254">
    <sortCondition ref="B2:B2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workbookViewId="0">
      <selection activeCell="M28" sqref="M28"/>
    </sheetView>
  </sheetViews>
  <sheetFormatPr defaultRowHeight="15" x14ac:dyDescent="0.25"/>
  <cols>
    <col min="4" max="4" width="13.5703125" customWidth="1"/>
  </cols>
  <sheetData>
    <row r="2" spans="2:7" x14ac:dyDescent="0.25">
      <c r="B2" s="10" t="s">
        <v>294</v>
      </c>
    </row>
    <row r="3" spans="2:7" x14ac:dyDescent="0.25">
      <c r="B3" t="s">
        <v>295</v>
      </c>
    </row>
    <row r="4" spans="2:7" x14ac:dyDescent="0.25">
      <c r="B4" s="11" t="s">
        <v>296</v>
      </c>
      <c r="C4" t="s">
        <v>300</v>
      </c>
    </row>
    <row r="5" spans="2:7" x14ac:dyDescent="0.25">
      <c r="B5" s="11" t="s">
        <v>298</v>
      </c>
      <c r="C5" t="s">
        <v>297</v>
      </c>
    </row>
    <row r="6" spans="2:7" x14ac:dyDescent="0.25">
      <c r="B6" s="11" t="s">
        <v>299</v>
      </c>
      <c r="C6" t="s">
        <v>302</v>
      </c>
    </row>
    <row r="7" spans="2:7" x14ac:dyDescent="0.25">
      <c r="B7" s="11" t="s">
        <v>301</v>
      </c>
      <c r="C7" t="s">
        <v>319</v>
      </c>
    </row>
    <row r="8" spans="2:7" x14ac:dyDescent="0.25">
      <c r="B8" s="20" t="s">
        <v>318</v>
      </c>
      <c r="C8" s="21" t="s">
        <v>321</v>
      </c>
    </row>
    <row r="9" spans="2:7" x14ac:dyDescent="0.25">
      <c r="B9" s="12" t="s">
        <v>320</v>
      </c>
    </row>
    <row r="10" spans="2:7" x14ac:dyDescent="0.25">
      <c r="B10" s="12" t="s">
        <v>303</v>
      </c>
    </row>
    <row r="11" spans="2:7" x14ac:dyDescent="0.25">
      <c r="B11" s="19" t="s">
        <v>317</v>
      </c>
    </row>
    <row r="12" spans="2:7" x14ac:dyDescent="0.25">
      <c r="B12" s="12"/>
    </row>
    <row r="13" spans="2:7" x14ac:dyDescent="0.25">
      <c r="B13" s="13" t="s">
        <v>304</v>
      </c>
    </row>
    <row r="14" spans="2:7" x14ac:dyDescent="0.25">
      <c r="B14" s="12"/>
      <c r="E14" s="14" t="s">
        <v>305</v>
      </c>
      <c r="F14" s="14" t="s">
        <v>306</v>
      </c>
    </row>
    <row r="15" spans="2:7" x14ac:dyDescent="0.25">
      <c r="C15" t="s">
        <v>307</v>
      </c>
      <c r="E15" s="15">
        <v>253</v>
      </c>
      <c r="F15" s="15">
        <v>1006</v>
      </c>
    </row>
    <row r="16" spans="2:7" x14ac:dyDescent="0.25">
      <c r="C16" t="s">
        <v>308</v>
      </c>
      <c r="E16">
        <v>35</v>
      </c>
      <c r="F16" s="15">
        <v>155</v>
      </c>
      <c r="G16" s="16"/>
    </row>
    <row r="17" spans="3:7" x14ac:dyDescent="0.25">
      <c r="C17" t="s">
        <v>309</v>
      </c>
      <c r="E17">
        <v>43</v>
      </c>
      <c r="F17" s="15">
        <v>166</v>
      </c>
      <c r="G17" s="16"/>
    </row>
    <row r="18" spans="3:7" x14ac:dyDescent="0.25">
      <c r="C18" t="s">
        <v>310</v>
      </c>
      <c r="E18">
        <v>100</v>
      </c>
      <c r="F18" s="15">
        <v>411</v>
      </c>
      <c r="G18" s="16"/>
    </row>
    <row r="19" spans="3:7" x14ac:dyDescent="0.25">
      <c r="C19" t="s">
        <v>311</v>
      </c>
      <c r="E19">
        <v>75</v>
      </c>
      <c r="F19" s="15">
        <v>274</v>
      </c>
      <c r="G19" s="16"/>
    </row>
    <row r="20" spans="3:7" x14ac:dyDescent="0.25">
      <c r="E20" s="17"/>
      <c r="F20" s="15"/>
    </row>
    <row r="21" spans="3:7" x14ac:dyDescent="0.25">
      <c r="C21" t="s">
        <v>312</v>
      </c>
      <c r="E21" s="17" t="s">
        <v>313</v>
      </c>
      <c r="F21" s="22">
        <f>F15/E15</f>
        <v>3.9762845849802373</v>
      </c>
    </row>
    <row r="22" spans="3:7" x14ac:dyDescent="0.25">
      <c r="C22" t="s">
        <v>314</v>
      </c>
      <c r="E22" s="14" t="s">
        <v>313</v>
      </c>
      <c r="F22" s="18">
        <v>12988.92885</v>
      </c>
    </row>
    <row r="23" spans="3:7" x14ac:dyDescent="0.25">
      <c r="C23" t="s">
        <v>315</v>
      </c>
      <c r="E23" s="14" t="s">
        <v>313</v>
      </c>
      <c r="F23" s="18">
        <v>10386.71542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Views>
    <sheetView workbookViewId="0">
      <selection activeCell="F11" sqref="F11"/>
    </sheetView>
  </sheetViews>
  <sheetFormatPr defaultRowHeight="15" x14ac:dyDescent="0.25"/>
  <sheetData>
    <row r="2" spans="2:3" x14ac:dyDescent="0.25">
      <c r="B2" s="10" t="s">
        <v>346</v>
      </c>
    </row>
    <row r="3" spans="2:3" x14ac:dyDescent="0.25">
      <c r="B3" t="s">
        <v>335</v>
      </c>
    </row>
    <row r="4" spans="2:3" x14ac:dyDescent="0.25">
      <c r="B4" s="25" t="s">
        <v>336</v>
      </c>
      <c r="C4" t="s">
        <v>337</v>
      </c>
    </row>
    <row r="5" spans="2:3" x14ac:dyDescent="0.25">
      <c r="B5" s="25" t="s">
        <v>338</v>
      </c>
      <c r="C5" t="s">
        <v>339</v>
      </c>
    </row>
    <row r="6" spans="2:3" x14ac:dyDescent="0.25">
      <c r="B6" s="25" t="s">
        <v>340</v>
      </c>
      <c r="C6" t="s">
        <v>341</v>
      </c>
    </row>
    <row r="7" spans="2:3" x14ac:dyDescent="0.25">
      <c r="B7" s="25" t="s">
        <v>342</v>
      </c>
      <c r="C7" t="s">
        <v>343</v>
      </c>
    </row>
    <row r="8" spans="2:3" x14ac:dyDescent="0.25">
      <c r="B8" s="25" t="s">
        <v>344</v>
      </c>
    </row>
    <row r="9" spans="2:3" x14ac:dyDescent="0.25">
      <c r="B9" s="26" t="s">
        <v>296</v>
      </c>
      <c r="C9" t="s">
        <v>327</v>
      </c>
    </row>
    <row r="10" spans="2:3" x14ac:dyDescent="0.25">
      <c r="B10" s="26" t="s">
        <v>298</v>
      </c>
      <c r="C10" t="s">
        <v>345</v>
      </c>
    </row>
    <row r="11" spans="2:3" x14ac:dyDescent="0.25">
      <c r="B11" s="26" t="s">
        <v>299</v>
      </c>
      <c r="C11" t="s">
        <v>347</v>
      </c>
    </row>
    <row r="12" spans="2:3" x14ac:dyDescent="0.25">
      <c r="B12" s="26" t="s">
        <v>301</v>
      </c>
      <c r="C12" t="s">
        <v>348</v>
      </c>
    </row>
    <row r="13" spans="2:3" x14ac:dyDescent="0.25">
      <c r="B13" s="26" t="s">
        <v>318</v>
      </c>
      <c r="C13" t="s">
        <v>349</v>
      </c>
    </row>
    <row r="14" spans="2:3" x14ac:dyDescent="0.25">
      <c r="B14" s="26" t="s">
        <v>350</v>
      </c>
      <c r="C14" t="s">
        <v>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N25" sqref="N25"/>
    </sheetView>
  </sheetViews>
  <sheetFormatPr defaultRowHeight="15" x14ac:dyDescent="0.25"/>
  <cols>
    <col min="1" max="1" width="12.42578125" customWidth="1"/>
    <col min="2" max="2" width="17" customWidth="1"/>
    <col min="3" max="3" width="20.28515625" customWidth="1"/>
    <col min="4" max="4" width="19.5703125" customWidth="1"/>
    <col min="8" max="8" width="11.28515625" customWidth="1"/>
    <col min="9" max="9" width="13.85546875" customWidth="1"/>
  </cols>
  <sheetData>
    <row r="1" spans="1:9" ht="30" x14ac:dyDescent="0.25">
      <c r="A1" s="2" t="s">
        <v>323</v>
      </c>
      <c r="B1" s="4" t="s">
        <v>284</v>
      </c>
      <c r="C1" s="6" t="s">
        <v>0</v>
      </c>
      <c r="D1" s="7" t="s">
        <v>316</v>
      </c>
      <c r="E1" s="6" t="s">
        <v>291</v>
      </c>
      <c r="F1" s="6" t="s">
        <v>290</v>
      </c>
      <c r="G1" s="6" t="s">
        <v>292</v>
      </c>
      <c r="H1" s="6" t="s">
        <v>293</v>
      </c>
      <c r="I1" s="6" t="s">
        <v>322</v>
      </c>
    </row>
    <row r="2" spans="1:9" x14ac:dyDescent="0.25">
      <c r="A2" s="3">
        <v>1</v>
      </c>
      <c r="B2" s="8">
        <v>218</v>
      </c>
      <c r="C2" s="3" t="str" cm="1">
        <f t="array" ref="C2">INDEX(Popu_data!A$2:A$254, B2)</f>
        <v>14875_2_02</v>
      </c>
      <c r="D2" s="8" cm="1">
        <f t="array" ref="D2">INDEX(Popu_data!B$2:B$254, B2)</f>
        <v>218</v>
      </c>
      <c r="E2" s="3" t="str" cm="1">
        <f t="array" ref="E2">INDEX(Popu_data!C$2:C$254, B2)</f>
        <v>3</v>
      </c>
      <c r="F2" s="3" cm="1">
        <f t="array" ref="F2">INDEX(Popu_data!D$2:D$254, B2)</f>
        <v>5</v>
      </c>
      <c r="G2" s="3" cm="1">
        <f t="array" ref="G2">INDEX(Popu_data!E$2:E$254, B2)</f>
        <v>7792</v>
      </c>
      <c r="H2" s="3" cm="1">
        <f t="array" ref="H2">INDEX(Popu_data!F$2:F$254, B2)</f>
        <v>10500</v>
      </c>
      <c r="I2" s="3" t="str" cm="1">
        <f t="array" ref="I2">INDEX(Popu_data!G$2:G$254, B2)</f>
        <v>08</v>
      </c>
    </row>
    <row r="3" spans="1:9" x14ac:dyDescent="0.25">
      <c r="A3" s="3">
        <v>2</v>
      </c>
      <c r="B3" s="3">
        <v>251</v>
      </c>
      <c r="C3" s="3" t="str" cm="1">
        <f t="array" ref="C3">INDEX(Popu_data!A$2:A$254, B3)</f>
        <v>21684_4_02</v>
      </c>
      <c r="D3" s="8" cm="1">
        <f t="array" ref="D3">INDEX(Popu_data!B$2:B$254, B3)</f>
        <v>251</v>
      </c>
      <c r="E3" s="3" t="str" cm="1">
        <f t="array" ref="E3">INDEX(Popu_data!C$2:C$254, B3)</f>
        <v>9</v>
      </c>
      <c r="F3" s="3" cm="1">
        <f t="array" ref="F3">INDEX(Popu_data!D$2:D$254, B3)</f>
        <v>3</v>
      </c>
      <c r="G3" s="3" cm="1">
        <f t="array" ref="G3">INDEX(Popu_data!E$2:E$254, B3)</f>
        <v>9074</v>
      </c>
      <c r="H3" s="3" cm="1">
        <f t="array" ref="H3">INDEX(Popu_data!F$2:F$254, B3)</f>
        <v>12605</v>
      </c>
      <c r="I3" s="3" t="str" cm="1">
        <f t="array" ref="I3">INDEX(Popu_data!G$2:G$254, B3)</f>
        <v>05</v>
      </c>
    </row>
    <row r="4" spans="1:9" x14ac:dyDescent="0.25">
      <c r="A4" s="3">
        <v>3</v>
      </c>
      <c r="B4" s="3">
        <v>168</v>
      </c>
      <c r="C4" s="3" t="str" cm="1">
        <f t="array" ref="C4">INDEX(Popu_data!A$2:A$254, B4)</f>
        <v>26115_1_01</v>
      </c>
      <c r="D4" s="8" cm="1">
        <f t="array" ref="D4">INDEX(Popu_data!B$2:B$254, B4)</f>
        <v>168</v>
      </c>
      <c r="E4" s="3" t="str" cm="1">
        <f t="array" ref="E4">INDEX(Popu_data!C$2:C$254, B4)</f>
        <v>3</v>
      </c>
      <c r="F4" s="3" cm="1">
        <f t="array" ref="F4">INDEX(Popu_data!D$2:D$254, B4)</f>
        <v>3</v>
      </c>
      <c r="G4" s="3" cm="1">
        <f t="array" ref="G4">INDEX(Popu_data!E$2:E$254, B4)</f>
        <v>19577</v>
      </c>
      <c r="H4" s="3" cm="1">
        <f t="array" ref="H4">INDEX(Popu_data!F$2:F$254, B4)</f>
        <v>17550</v>
      </c>
      <c r="I4" s="3" t="str" cm="1">
        <f t="array" ref="I4">INDEX(Popu_data!G$2:G$254, B4)</f>
        <v>13</v>
      </c>
    </row>
    <row r="5" spans="1:9" x14ac:dyDescent="0.25">
      <c r="A5" s="3">
        <v>4</v>
      </c>
      <c r="B5" s="8">
        <v>218</v>
      </c>
      <c r="C5" s="3" t="str" cm="1">
        <f t="array" ref="C5">INDEX(Popu_data!A$2:A$254, B5)</f>
        <v>14875_2_02</v>
      </c>
      <c r="D5" s="8" cm="1">
        <f t="array" ref="D5">INDEX(Popu_data!B$2:B$254, B5)</f>
        <v>218</v>
      </c>
      <c r="E5" s="3" t="str" cm="1">
        <f t="array" ref="E5">INDEX(Popu_data!C$2:C$254, B5)</f>
        <v>3</v>
      </c>
      <c r="F5" s="3" cm="1">
        <f t="array" ref="F5">INDEX(Popu_data!D$2:D$254, B5)</f>
        <v>5</v>
      </c>
      <c r="G5" s="3" cm="1">
        <f t="array" ref="G5">INDEX(Popu_data!E$2:E$254, B5)</f>
        <v>7792</v>
      </c>
      <c r="H5" s="3" cm="1">
        <f t="array" ref="H5">INDEX(Popu_data!F$2:F$254, B5)</f>
        <v>10500</v>
      </c>
      <c r="I5" s="3" t="str" cm="1">
        <f t="array" ref="I5">INDEX(Popu_data!G$2:G$254, B5)</f>
        <v>08</v>
      </c>
    </row>
    <row r="6" spans="1:9" x14ac:dyDescent="0.25">
      <c r="A6" s="3">
        <v>5</v>
      </c>
      <c r="B6" s="3">
        <v>243</v>
      </c>
      <c r="C6" s="3" t="str" cm="1">
        <f t="array" ref="C6">INDEX(Popu_data!A$2:A$254, B6)</f>
        <v>14942_1_01</v>
      </c>
      <c r="D6" s="8" cm="1">
        <f t="array" ref="D6">INDEX(Popu_data!B$2:B$254, B6)</f>
        <v>243</v>
      </c>
      <c r="E6" s="3" t="str" cm="1">
        <f t="array" ref="E6">INDEX(Popu_data!C$2:C$254, B6)</f>
        <v>1</v>
      </c>
      <c r="F6" s="3" cm="1">
        <f t="array" ref="F6">INDEX(Popu_data!D$2:D$254, B6)</f>
        <v>5</v>
      </c>
      <c r="G6" s="3" cm="1">
        <f t="array" ref="G6">INDEX(Popu_data!E$2:E$254, B6)</f>
        <v>17583</v>
      </c>
      <c r="H6" s="3" cm="1">
        <f t="array" ref="H6">INDEX(Popu_data!F$2:F$254, B6)</f>
        <v>15000</v>
      </c>
      <c r="I6" s="3" t="str" cm="1">
        <f t="array" ref="I6">INDEX(Popu_data!G$2:G$254, B6)</f>
        <v>12</v>
      </c>
    </row>
    <row r="7" spans="1:9" x14ac:dyDescent="0.25">
      <c r="A7" s="3">
        <v>6</v>
      </c>
      <c r="B7" s="3">
        <v>247</v>
      </c>
      <c r="C7" s="3" t="str" cm="1">
        <f t="array" ref="C7">INDEX(Popu_data!A$2:A$254, B7)</f>
        <v>14627_3_01</v>
      </c>
      <c r="D7" s="8" cm="1">
        <f t="array" ref="D7">INDEX(Popu_data!B$2:B$254, B7)</f>
        <v>247</v>
      </c>
      <c r="E7" s="3" t="str" cm="1">
        <f t="array" ref="E7">INDEX(Popu_data!C$2:C$254, B7)</f>
        <v>1</v>
      </c>
      <c r="F7" s="3" cm="1">
        <f t="array" ref="F7">INDEX(Popu_data!D$2:D$254, B7)</f>
        <v>5</v>
      </c>
      <c r="G7" s="3" cm="1">
        <f t="array" ref="G7">INDEX(Popu_data!E$2:E$254, B7)</f>
        <v>6767</v>
      </c>
      <c r="H7" s="3" cm="1">
        <f t="array" ref="H7">INDEX(Popu_data!F$2:F$254, B7)</f>
        <v>8000</v>
      </c>
      <c r="I7" s="3" t="str" cm="1">
        <f t="array" ref="I7">INDEX(Popu_data!G$2:G$254, B7)</f>
        <v>07</v>
      </c>
    </row>
    <row r="8" spans="1:9" x14ac:dyDescent="0.25">
      <c r="A8" s="3">
        <v>7</v>
      </c>
      <c r="B8" s="3">
        <v>18</v>
      </c>
      <c r="C8" s="3" t="str" cm="1">
        <f t="array" ref="C8">INDEX(Popu_data!A$2:A$254, B8)</f>
        <v>22510_1_01</v>
      </c>
      <c r="D8" s="8" cm="1">
        <f t="array" ref="D8">INDEX(Popu_data!B$2:B$254, B8)</f>
        <v>18</v>
      </c>
      <c r="E8" s="3" t="str" cm="1">
        <f t="array" ref="E8">INDEX(Popu_data!C$2:C$254, B8)</f>
        <v>3</v>
      </c>
      <c r="F8" s="3" cm="1">
        <f t="array" ref="F8">INDEX(Popu_data!D$2:D$254, B8)</f>
        <v>14</v>
      </c>
      <c r="G8" s="3" cm="1">
        <f t="array" ref="G8">INDEX(Popu_data!E$2:E$254, B8)</f>
        <v>19985</v>
      </c>
      <c r="H8" s="3" cm="1">
        <f t="array" ref="H8">INDEX(Popu_data!F$2:F$254, B8)</f>
        <v>10740</v>
      </c>
      <c r="I8" s="3" t="str" cm="1">
        <f t="array" ref="I8">INDEX(Popu_data!G$2:G$254, B8)</f>
        <v>12</v>
      </c>
    </row>
    <row r="9" spans="1:9" x14ac:dyDescent="0.25">
      <c r="A9" s="3">
        <v>8</v>
      </c>
      <c r="B9" s="3">
        <v>5</v>
      </c>
      <c r="C9" s="3" t="str" cm="1">
        <f t="array" ref="C9">INDEX(Popu_data!A$2:A$254, B9)</f>
        <v>22602_2_01</v>
      </c>
      <c r="D9" s="8" cm="1">
        <f t="array" ref="D9">INDEX(Popu_data!B$2:B$254, B9)</f>
        <v>5</v>
      </c>
      <c r="E9" s="3" t="str" cm="1">
        <f t="array" ref="E9">INDEX(Popu_data!C$2:C$254, B9)</f>
        <v>9</v>
      </c>
      <c r="F9" s="3" cm="1">
        <f t="array" ref="F9">INDEX(Popu_data!D$2:D$254, B9)</f>
        <v>2</v>
      </c>
      <c r="G9" s="3" cm="1">
        <f t="array" ref="G9">INDEX(Popu_data!E$2:E$254, B9)</f>
        <v>38792</v>
      </c>
      <c r="H9" s="3" cm="1">
        <f t="array" ref="H9">INDEX(Popu_data!F$2:F$254, B9)</f>
        <v>15000</v>
      </c>
      <c r="I9" s="3" t="str" cm="1">
        <f t="array" ref="I9">INDEX(Popu_data!G$2:G$254, B9)</f>
        <v>12</v>
      </c>
    </row>
    <row r="10" spans="1:9" x14ac:dyDescent="0.25">
      <c r="A10" s="3">
        <v>9</v>
      </c>
      <c r="B10" s="3">
        <v>114</v>
      </c>
      <c r="C10" s="3" t="str" cm="1">
        <f t="array" ref="C10">INDEX(Popu_data!A$2:A$254, B10)</f>
        <v>21467_1_01</v>
      </c>
      <c r="D10" s="8" cm="1">
        <f t="array" ref="D10">INDEX(Popu_data!B$2:B$254, B10)</f>
        <v>114</v>
      </c>
      <c r="E10" s="3" t="str" cm="1">
        <f t="array" ref="E10">INDEX(Popu_data!C$2:C$254, B10)</f>
        <v>9</v>
      </c>
      <c r="F10" s="3" cm="1">
        <f t="array" ref="F10">INDEX(Popu_data!D$2:D$254, B10)</f>
        <v>3</v>
      </c>
      <c r="G10" s="3" cm="1">
        <f t="array" ref="G10">INDEX(Popu_data!E$2:E$254, B10)</f>
        <v>18942</v>
      </c>
      <c r="H10" s="3" cm="1">
        <f t="array" ref="H10">INDEX(Popu_data!F$2:F$254, B10)</f>
        <v>28000</v>
      </c>
      <c r="I10" s="3" t="str" cm="1">
        <f t="array" ref="I10">INDEX(Popu_data!G$2:G$254, B10)</f>
        <v>12</v>
      </c>
    </row>
    <row r="11" spans="1:9" x14ac:dyDescent="0.25">
      <c r="A11" s="3">
        <v>10</v>
      </c>
      <c r="B11" s="3">
        <v>133</v>
      </c>
      <c r="C11" s="3" t="str" cm="1">
        <f t="array" ref="C11">INDEX(Popu_data!A$2:A$254, B11)</f>
        <v>23058_2_02</v>
      </c>
      <c r="D11" s="8" cm="1">
        <f t="array" ref="D11">INDEX(Popu_data!B$2:B$254, B11)</f>
        <v>133</v>
      </c>
      <c r="E11" s="3" t="str" cm="1">
        <f t="array" ref="E11">INDEX(Popu_data!C$2:C$254, B11)</f>
        <v>1</v>
      </c>
      <c r="F11" s="3" cm="1">
        <f t="array" ref="F11">INDEX(Popu_data!D$2:D$254, B11)</f>
        <v>5</v>
      </c>
      <c r="G11" s="3" cm="1">
        <f t="array" ref="G11">INDEX(Popu_data!E$2:E$254, B11)</f>
        <v>19583</v>
      </c>
      <c r="H11" s="3" cm="1">
        <f t="array" ref="H11">INDEX(Popu_data!F$2:F$254, B11)</f>
        <v>23000</v>
      </c>
      <c r="I11" s="3" t="str" cm="1">
        <f t="array" ref="I11">INDEX(Popu_data!G$2:G$254, B11)</f>
        <v>12</v>
      </c>
    </row>
    <row r="12" spans="1:9" x14ac:dyDescent="0.25">
      <c r="A12" s="3">
        <v>11</v>
      </c>
      <c r="B12" s="3">
        <v>56</v>
      </c>
      <c r="C12" s="3" t="str" cm="1">
        <f t="array" ref="C12">INDEX(Popu_data!A$2:A$254, B12)</f>
        <v>15573_2_01</v>
      </c>
      <c r="D12" s="8" cm="1">
        <f t="array" ref="D12">INDEX(Popu_data!B$2:B$254, B12)</f>
        <v>56</v>
      </c>
      <c r="E12" s="3" t="str" cm="1">
        <f t="array" ref="E12">INDEX(Popu_data!C$2:C$254, B12)</f>
        <v>2</v>
      </c>
      <c r="F12" s="3" cm="1">
        <f t="array" ref="F12">INDEX(Popu_data!D$2:D$254, B12)</f>
        <v>4</v>
      </c>
      <c r="G12" s="3" cm="1">
        <f t="array" ref="G12">INDEX(Popu_data!E$2:E$254, B12)</f>
        <v>9783</v>
      </c>
      <c r="H12" s="3" cm="1">
        <f t="array" ref="H12">INDEX(Popu_data!F$2:F$254, B12)</f>
        <v>7000</v>
      </c>
      <c r="I12" s="3" t="str" cm="1">
        <f t="array" ref="I12">INDEX(Popu_data!G$2:G$254, B12)</f>
        <v>10</v>
      </c>
    </row>
    <row r="13" spans="1:9" x14ac:dyDescent="0.25">
      <c r="A13" s="3">
        <v>12</v>
      </c>
      <c r="B13" s="3">
        <v>233</v>
      </c>
      <c r="C13" s="3" t="str" cm="1">
        <f t="array" ref="C13">INDEX(Popu_data!A$2:A$254, B13)</f>
        <v>15082_2_01</v>
      </c>
      <c r="D13" s="8" cm="1">
        <f t="array" ref="D13">INDEX(Popu_data!B$2:B$254, B13)</f>
        <v>233</v>
      </c>
      <c r="E13" s="3" t="str" cm="1">
        <f t="array" ref="E13">INDEX(Popu_data!C$2:C$254, B13)</f>
        <v>9</v>
      </c>
      <c r="F13" s="3" cm="1">
        <f t="array" ref="F13">INDEX(Popu_data!D$2:D$254, B13)</f>
        <v>5</v>
      </c>
      <c r="G13" s="3" cm="1">
        <f t="array" ref="G13">INDEX(Popu_data!E$2:E$254, B13)</f>
        <v>19830</v>
      </c>
      <c r="H13" s="3" cm="1">
        <f t="array" ref="H13">INDEX(Popu_data!F$2:F$254, B13)</f>
        <v>15000</v>
      </c>
      <c r="I13" s="3" t="str" cm="1">
        <f t="array" ref="I13">INDEX(Popu_data!G$2:G$254, B13)</f>
        <v>12</v>
      </c>
    </row>
    <row r="14" spans="1:9" x14ac:dyDescent="0.25">
      <c r="A14" s="3">
        <v>13</v>
      </c>
      <c r="B14" s="3">
        <v>61</v>
      </c>
      <c r="C14" s="3" t="str" cm="1">
        <f t="array" ref="C14">INDEX(Popu_data!A$2:A$254, B14)</f>
        <v>23374_3_02</v>
      </c>
      <c r="D14" s="8" cm="1">
        <f t="array" ref="D14">INDEX(Popu_data!B$2:B$254, B14)</f>
        <v>61</v>
      </c>
      <c r="E14" s="3" t="str" cm="1">
        <f t="array" ref="E14">INDEX(Popu_data!C$2:C$254, B14)</f>
        <v>9</v>
      </c>
      <c r="F14" s="3" cm="1">
        <f t="array" ref="F14">INDEX(Popu_data!D$2:D$254, B14)</f>
        <v>7</v>
      </c>
      <c r="G14" s="3" cm="1">
        <f t="array" ref="G14">INDEX(Popu_data!E$2:E$254, B14)</f>
        <v>13850</v>
      </c>
      <c r="H14" s="3" cm="1">
        <f t="array" ref="H14">INDEX(Popu_data!F$2:F$254, B14)</f>
        <v>20000</v>
      </c>
      <c r="I14" s="3" t="str" cm="1">
        <f t="array" ref="I14">INDEX(Popu_data!G$2:G$254, B14)</f>
        <v>10</v>
      </c>
    </row>
    <row r="15" spans="1:9" x14ac:dyDescent="0.25">
      <c r="A15" s="3">
        <v>14</v>
      </c>
      <c r="B15" s="3">
        <v>113</v>
      </c>
      <c r="C15" s="3" t="str" cm="1">
        <f t="array" ref="C15">INDEX(Popu_data!A$2:A$254, B15)</f>
        <v>17430_2_01</v>
      </c>
      <c r="D15" s="8" cm="1">
        <f t="array" ref="D15">INDEX(Popu_data!B$2:B$254, B15)</f>
        <v>113</v>
      </c>
      <c r="E15" s="3" t="str" cm="1">
        <f t="array" ref="E15">INDEX(Popu_data!C$2:C$254, B15)</f>
        <v>9</v>
      </c>
      <c r="F15" s="3" cm="1">
        <f t="array" ref="F15">INDEX(Popu_data!D$2:D$254, B15)</f>
        <v>5</v>
      </c>
      <c r="G15" s="3" cm="1">
        <f t="array" ref="G15">INDEX(Popu_data!E$2:E$254, B15)</f>
        <v>6100</v>
      </c>
      <c r="H15" s="3" cm="1">
        <f t="array" ref="H15">INDEX(Popu_data!F$2:F$254, B15)</f>
        <v>5000</v>
      </c>
      <c r="I15" s="3" t="str" cm="1">
        <f t="array" ref="I15">INDEX(Popu_data!G$2:G$254, B15)</f>
        <v>10</v>
      </c>
    </row>
    <row r="16" spans="1:9" x14ac:dyDescent="0.25">
      <c r="A16" s="3">
        <v>15</v>
      </c>
      <c r="B16" s="3">
        <v>129</v>
      </c>
      <c r="C16" s="3" t="str" cm="1">
        <f t="array" ref="C16">INDEX(Popu_data!A$2:A$254, B16)</f>
        <v>21802_2_02</v>
      </c>
      <c r="D16" s="8" cm="1">
        <f t="array" ref="D16">INDEX(Popu_data!B$2:B$254, B16)</f>
        <v>129</v>
      </c>
      <c r="E16" s="3" t="str" cm="1">
        <f t="array" ref="E16">INDEX(Popu_data!C$2:C$254, B16)</f>
        <v>1</v>
      </c>
      <c r="F16" s="3" cm="1">
        <f t="array" ref="F16">INDEX(Popu_data!D$2:D$254, B16)</f>
        <v>2</v>
      </c>
      <c r="G16" s="3" cm="1">
        <f t="array" ref="G16">INDEX(Popu_data!E$2:E$254, B16)</f>
        <v>18567</v>
      </c>
      <c r="H16" s="3" cm="1">
        <f t="array" ref="H16">INDEX(Popu_data!F$2:F$254, B16)</f>
        <v>14000</v>
      </c>
      <c r="I16" s="3" t="str" cm="1">
        <f t="array" ref="I16">INDEX(Popu_data!G$2:G$254, B16)</f>
        <v>12</v>
      </c>
    </row>
    <row r="17" spans="1:9" x14ac:dyDescent="0.25">
      <c r="A17" s="3">
        <v>16</v>
      </c>
      <c r="B17" s="3">
        <v>111</v>
      </c>
      <c r="C17" s="3" t="str" cm="1">
        <f t="array" ref="C17">INDEX(Popu_data!A$2:A$254, B17)</f>
        <v>16790_3_01</v>
      </c>
      <c r="D17" s="8" cm="1">
        <f t="array" ref="D17">INDEX(Popu_data!B$2:B$254, B17)</f>
        <v>111</v>
      </c>
      <c r="E17" s="3" t="str" cm="1">
        <f t="array" ref="E17">INDEX(Popu_data!C$2:C$254, B17)</f>
        <v>2</v>
      </c>
      <c r="F17" s="3" cm="1">
        <f t="array" ref="F17">INDEX(Popu_data!D$2:D$254, B17)</f>
        <v>3</v>
      </c>
      <c r="G17" s="3" cm="1">
        <f t="array" ref="G17">INDEX(Popu_data!E$2:E$254, B17)</f>
        <v>5029</v>
      </c>
      <c r="H17" s="3" cm="1">
        <f t="array" ref="H17">INDEX(Popu_data!F$2:F$254, B17)</f>
        <v>4500</v>
      </c>
      <c r="I17" s="3" t="str" cm="1">
        <f t="array" ref="I17">INDEX(Popu_data!G$2:G$254, B17)</f>
        <v>06</v>
      </c>
    </row>
    <row r="18" spans="1:9" x14ac:dyDescent="0.25">
      <c r="A18" s="3">
        <v>17</v>
      </c>
      <c r="B18" s="3">
        <v>38</v>
      </c>
      <c r="C18" s="3" t="str" cm="1">
        <f t="array" ref="C18">INDEX(Popu_data!A$2:A$254, B18)</f>
        <v>24519_2_01</v>
      </c>
      <c r="D18" s="8" cm="1">
        <f t="array" ref="D18">INDEX(Popu_data!B$2:B$254, B18)</f>
        <v>38</v>
      </c>
      <c r="E18" s="3" t="str" cm="1">
        <f t="array" ref="E18">INDEX(Popu_data!C$2:C$254, B18)</f>
        <v>3</v>
      </c>
      <c r="F18" s="3" cm="1">
        <f t="array" ref="F18">INDEX(Popu_data!D$2:D$254, B18)</f>
        <v>3</v>
      </c>
      <c r="G18" s="3" cm="1">
        <f t="array" ref="G18">INDEX(Popu_data!E$2:E$254, B18)</f>
        <v>23750</v>
      </c>
      <c r="H18" s="3" cm="1">
        <f t="array" ref="H18">INDEX(Popu_data!F$2:F$254, B18)</f>
        <v>15000</v>
      </c>
      <c r="I18" s="3" t="str" cm="1">
        <f t="array" ref="I18">INDEX(Popu_data!G$2:G$254, B18)</f>
        <v>12</v>
      </c>
    </row>
    <row r="19" spans="1:9" x14ac:dyDescent="0.25">
      <c r="A19" s="3">
        <v>18</v>
      </c>
      <c r="B19" s="3">
        <v>17</v>
      </c>
      <c r="C19" s="3" t="str" cm="1">
        <f t="array" ref="C19">INDEX(Popu_data!A$2:A$254, B19)</f>
        <v>23700_1_01</v>
      </c>
      <c r="D19" s="8" cm="1">
        <f t="array" ref="D19">INDEX(Popu_data!B$2:B$254, B19)</f>
        <v>17</v>
      </c>
      <c r="E19" s="3" t="str" cm="1">
        <f t="array" ref="E19">INDEX(Popu_data!C$2:C$254, B19)</f>
        <v>3</v>
      </c>
      <c r="F19" s="3" cm="1">
        <f t="array" ref="F19">INDEX(Popu_data!D$2:D$254, B19)</f>
        <v>8</v>
      </c>
      <c r="G19" s="3" cm="1">
        <f t="array" ref="G19">INDEX(Popu_data!E$2:E$254, B19)</f>
        <v>15500</v>
      </c>
      <c r="H19" s="3" cm="1">
        <f t="array" ref="H19">INDEX(Popu_data!F$2:F$254, B19)</f>
        <v>18000</v>
      </c>
      <c r="I19" s="3" t="str" cm="1">
        <f t="array" ref="I19">INDEX(Popu_data!G$2:G$254, B19)</f>
        <v>12</v>
      </c>
    </row>
    <row r="20" spans="1:9" x14ac:dyDescent="0.25">
      <c r="A20" s="3">
        <v>19</v>
      </c>
      <c r="B20" s="3">
        <v>125</v>
      </c>
      <c r="C20" s="3" t="str" cm="1">
        <f t="array" ref="C20">INDEX(Popu_data!A$2:A$254, B20)</f>
        <v>23808_2_01</v>
      </c>
      <c r="D20" s="8" cm="1">
        <f t="array" ref="D20">INDEX(Popu_data!B$2:B$254, B20)</f>
        <v>125</v>
      </c>
      <c r="E20" s="3" t="str" cm="1">
        <f t="array" ref="E20">INDEX(Popu_data!C$2:C$254, B20)</f>
        <v>3</v>
      </c>
      <c r="F20" s="3" cm="1">
        <f t="array" ref="F20">INDEX(Popu_data!D$2:D$254, B20)</f>
        <v>4</v>
      </c>
      <c r="G20" s="3" cm="1">
        <f t="array" ref="G20">INDEX(Popu_data!E$2:E$254, B20)</f>
        <v>32917</v>
      </c>
      <c r="H20" s="3" cm="1">
        <f t="array" ref="H20">INDEX(Popu_data!F$2:F$254, B20)</f>
        <v>10000</v>
      </c>
      <c r="I20" s="3" t="str" cm="1">
        <f t="array" ref="I20">INDEX(Popu_data!G$2:G$254, B20)</f>
        <v>12</v>
      </c>
    </row>
    <row r="21" spans="1:9" x14ac:dyDescent="0.25">
      <c r="A21" s="3">
        <v>20</v>
      </c>
      <c r="B21" s="3">
        <v>181</v>
      </c>
      <c r="C21" s="3" t="str" cm="1">
        <f t="array" ref="C21">INDEX(Popu_data!A$2:A$254, B21)</f>
        <v>14285_2_01</v>
      </c>
      <c r="D21" s="8" cm="1">
        <f t="array" ref="D21">INDEX(Popu_data!B$2:B$254, B21)</f>
        <v>181</v>
      </c>
      <c r="E21" s="3" t="str" cm="1">
        <f t="array" ref="E21">INDEX(Popu_data!C$2:C$254, B21)</f>
        <v>9</v>
      </c>
      <c r="F21" s="3" cm="1">
        <f t="array" ref="F21">INDEX(Popu_data!D$2:D$254, B21)</f>
        <v>4</v>
      </c>
      <c r="G21" s="3" cm="1">
        <f t="array" ref="G21">INDEX(Popu_data!E$2:E$254, B21)</f>
        <v>7867</v>
      </c>
      <c r="H21" s="3" cm="1">
        <f t="array" ref="H21">INDEX(Popu_data!F$2:F$254, B21)</f>
        <v>12000</v>
      </c>
      <c r="I21" s="3" t="str" cm="1">
        <f t="array" ref="I21">INDEX(Popu_data!G$2:G$254, B21)</f>
        <v>08</v>
      </c>
    </row>
    <row r="22" spans="1:9" x14ac:dyDescent="0.25">
      <c r="A22" s="3">
        <v>21</v>
      </c>
      <c r="B22" s="3">
        <v>166</v>
      </c>
      <c r="C22" s="3" t="str" cm="1">
        <f t="array" ref="C22">INDEX(Popu_data!A$2:A$254, B22)</f>
        <v>25407_2_02</v>
      </c>
      <c r="D22" s="8" cm="1">
        <f t="array" ref="D22">INDEX(Popu_data!B$2:B$254, B22)</f>
        <v>166</v>
      </c>
      <c r="E22" s="3" t="str" cm="1">
        <f t="array" ref="E22">INDEX(Popu_data!C$2:C$254, B22)</f>
        <v>3</v>
      </c>
      <c r="F22" s="3" cm="1">
        <f t="array" ref="F22">INDEX(Popu_data!D$2:D$254, B22)</f>
        <v>2</v>
      </c>
      <c r="G22" s="3" cm="1">
        <f t="array" ref="G22">INDEX(Popu_data!E$2:E$254, B22)</f>
        <v>5215</v>
      </c>
      <c r="H22" s="3" cm="1">
        <f t="array" ref="H22">INDEX(Popu_data!F$2:F$254, B22)</f>
        <v>5000</v>
      </c>
      <c r="I22" s="3" t="str" cm="1">
        <f t="array" ref="I22">INDEX(Popu_data!G$2:G$254, B22)</f>
        <v>13</v>
      </c>
    </row>
    <row r="23" spans="1:9" x14ac:dyDescent="0.25">
      <c r="A23" s="3">
        <v>22</v>
      </c>
      <c r="B23" s="3">
        <v>68</v>
      </c>
      <c r="C23" s="3" t="str" cm="1">
        <f t="array" ref="C23">INDEX(Popu_data!A$2:A$254, B23)</f>
        <v>15081_2_02</v>
      </c>
      <c r="D23" s="8" cm="1">
        <f t="array" ref="D23">INDEX(Popu_data!B$2:B$254, B23)</f>
        <v>68</v>
      </c>
      <c r="E23" s="3" t="str" cm="1">
        <f t="array" ref="E23">INDEX(Popu_data!C$2:C$254, B23)</f>
        <v>2</v>
      </c>
      <c r="F23" s="3" cm="1">
        <f t="array" ref="F23">INDEX(Popu_data!D$2:D$254, B23)</f>
        <v>3</v>
      </c>
      <c r="G23" s="3" cm="1">
        <f t="array" ref="G23">INDEX(Popu_data!E$2:E$254, B23)</f>
        <v>8680</v>
      </c>
      <c r="H23" s="3" cm="1">
        <f t="array" ref="H23">INDEX(Popu_data!F$2:F$254, B23)</f>
        <v>4060</v>
      </c>
      <c r="I23" s="3" t="str" cm="1">
        <f t="array" ref="I23">INDEX(Popu_data!G$2:G$254, B23)</f>
        <v>10</v>
      </c>
    </row>
    <row r="24" spans="1:9" x14ac:dyDescent="0.25">
      <c r="A24" s="3">
        <v>23</v>
      </c>
      <c r="B24" s="3">
        <v>145</v>
      </c>
      <c r="C24" s="3" t="str" cm="1">
        <f t="array" ref="C24">INDEX(Popu_data!A$2:A$254, B24)</f>
        <v>15724_2_01</v>
      </c>
      <c r="D24" s="8" cm="1">
        <f t="array" ref="D24">INDEX(Popu_data!B$2:B$254, B24)</f>
        <v>145</v>
      </c>
      <c r="E24" s="3" t="str" cm="1">
        <f t="array" ref="E24">INDEX(Popu_data!C$2:C$254, B24)</f>
        <v>3</v>
      </c>
      <c r="F24" s="3" cm="1">
        <f t="array" ref="F24">INDEX(Popu_data!D$2:D$254, B24)</f>
        <v>3</v>
      </c>
      <c r="G24" s="3" cm="1">
        <f t="array" ref="G24">INDEX(Popu_data!E$2:E$254, B24)</f>
        <v>19725</v>
      </c>
      <c r="H24" s="3" cm="1">
        <f t="array" ref="H24">INDEX(Popu_data!F$2:F$254, B24)</f>
        <v>6840</v>
      </c>
      <c r="I24" s="3" t="str" cm="1">
        <f t="array" ref="I24">INDEX(Popu_data!G$2:G$254, B24)</f>
        <v>11</v>
      </c>
    </row>
    <row r="25" spans="1:9" x14ac:dyDescent="0.25">
      <c r="A25" s="3">
        <v>24</v>
      </c>
      <c r="B25" s="3">
        <v>70</v>
      </c>
      <c r="C25" s="3" t="str" cm="1">
        <f t="array" ref="C25">INDEX(Popu_data!A$2:A$254, B25)</f>
        <v>22974_1_01</v>
      </c>
      <c r="D25" s="8" cm="1">
        <f t="array" ref="D25">INDEX(Popu_data!B$2:B$254, B25)</f>
        <v>70</v>
      </c>
      <c r="E25" s="3" t="str" cm="1">
        <f t="array" ref="E25">INDEX(Popu_data!C$2:C$254, B25)</f>
        <v>3</v>
      </c>
      <c r="F25" s="3" cm="1">
        <f t="array" ref="F25">INDEX(Popu_data!D$2:D$254, B25)</f>
        <v>6</v>
      </c>
      <c r="G25" s="3" cm="1">
        <f t="array" ref="G25">INDEX(Popu_data!E$2:E$254, B25)</f>
        <v>10345</v>
      </c>
      <c r="H25" s="3" cm="1">
        <f t="array" ref="H25">INDEX(Popu_data!F$2:F$254, B25)</f>
        <v>12500</v>
      </c>
      <c r="I25" s="3" t="str" cm="1">
        <f t="array" ref="I25">INDEX(Popu_data!G$2:G$254, B25)</f>
        <v>12</v>
      </c>
    </row>
    <row r="26" spans="1:9" x14ac:dyDescent="0.25">
      <c r="A26" s="3">
        <v>25</v>
      </c>
      <c r="B26" s="3">
        <v>28</v>
      </c>
      <c r="C26" s="3" t="str" cm="1">
        <f t="array" ref="C26">INDEX(Popu_data!A$2:A$254, B26)</f>
        <v>21507_4_01</v>
      </c>
      <c r="D26" s="8" cm="1">
        <f t="array" ref="D26">INDEX(Popu_data!B$2:B$254, B26)</f>
        <v>28</v>
      </c>
      <c r="E26" s="3" t="str" cm="1">
        <f t="array" ref="E26">INDEX(Popu_data!C$2:C$254, B26)</f>
        <v>2</v>
      </c>
      <c r="F26" s="3" cm="1">
        <f t="array" ref="F26">INDEX(Popu_data!D$2:D$254, B26)</f>
        <v>1</v>
      </c>
      <c r="G26" s="3" cm="1">
        <f t="array" ref="G26">INDEX(Popu_data!E$2:E$254, B26)</f>
        <v>3817</v>
      </c>
      <c r="H26" s="3" cm="1">
        <f t="array" ref="H26">INDEX(Popu_data!F$2:F$254, B26)</f>
        <v>2000</v>
      </c>
      <c r="I26" s="3" t="str" cm="1">
        <f t="array" ref="I26">INDEX(Popu_data!G$2:G$254, B26)</f>
        <v>07</v>
      </c>
    </row>
    <row r="28" spans="1:9" x14ac:dyDescent="0.25">
      <c r="D28" s="17" t="s">
        <v>324</v>
      </c>
      <c r="E28">
        <v>253</v>
      </c>
    </row>
    <row r="29" spans="1:9" x14ac:dyDescent="0.25">
      <c r="D29" s="17" t="s">
        <v>325</v>
      </c>
      <c r="E29">
        <v>25</v>
      </c>
    </row>
    <row r="30" spans="1:9" x14ac:dyDescent="0.25">
      <c r="A30" s="1"/>
      <c r="D30" s="23" t="s">
        <v>334</v>
      </c>
    </row>
    <row r="31" spans="1:9" ht="44.25" customHeight="1" x14ac:dyDescent="0.25">
      <c r="D31" s="24" t="s">
        <v>327</v>
      </c>
      <c r="E31" s="24" t="s">
        <v>332</v>
      </c>
      <c r="F31" s="24" t="s">
        <v>328</v>
      </c>
      <c r="G31" s="24" t="s">
        <v>330</v>
      </c>
      <c r="H31" s="24" t="s">
        <v>329</v>
      </c>
      <c r="I31" s="24" t="s">
        <v>331</v>
      </c>
    </row>
    <row r="32" spans="1:9" x14ac:dyDescent="0.25">
      <c r="D32">
        <f>SUM(F2:F26)*E28/E29</f>
        <v>1113.2</v>
      </c>
      <c r="E32">
        <f>SUM(F2:F26)/E29</f>
        <v>4.4000000000000004</v>
      </c>
      <c r="F32" s="16">
        <f>SUM(G2:G26)/E29</f>
        <v>14674.48</v>
      </c>
      <c r="G32" s="16">
        <f>SUM(G2:G26) / SUM(F2:F26)</f>
        <v>3335.1090909090908</v>
      </c>
      <c r="H32" s="16">
        <f>SUM(H2:H26)/SUM(F2:F26)</f>
        <v>2743.590909090909</v>
      </c>
      <c r="I32">
        <f>COUNTIF(E2:E26,1)/25</f>
        <v>0.16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"/>
  <sheetViews>
    <sheetView workbookViewId="0">
      <selection activeCell="U7" sqref="U7"/>
    </sheetView>
  </sheetViews>
  <sheetFormatPr defaultRowHeight="15" x14ac:dyDescent="0.25"/>
  <cols>
    <col min="1" max="1" width="11.140625" customWidth="1"/>
    <col min="6" max="6" width="11.7109375" customWidth="1"/>
  </cols>
  <sheetData>
    <row r="1" spans="1:8" ht="30" x14ac:dyDescent="0.25">
      <c r="A1" s="6" t="s">
        <v>0</v>
      </c>
      <c r="B1" s="7" t="s">
        <v>316</v>
      </c>
      <c r="C1" s="6" t="s">
        <v>291</v>
      </c>
      <c r="D1" s="6" t="s">
        <v>290</v>
      </c>
      <c r="E1" s="6" t="s">
        <v>292</v>
      </c>
      <c r="F1" s="6" t="s">
        <v>293</v>
      </c>
      <c r="G1" s="6" t="s">
        <v>322</v>
      </c>
      <c r="H1" s="33" t="s">
        <v>283</v>
      </c>
    </row>
    <row r="2" spans="1:8" x14ac:dyDescent="0.25">
      <c r="A2" s="3" t="s">
        <v>2</v>
      </c>
      <c r="B2" s="3">
        <v>1</v>
      </c>
      <c r="C2" s="3" t="s">
        <v>3</v>
      </c>
      <c r="D2" s="3">
        <v>1</v>
      </c>
      <c r="E2" s="14">
        <v>6721</v>
      </c>
      <c r="F2" s="17">
        <v>20000</v>
      </c>
      <c r="G2" s="3" t="s">
        <v>4</v>
      </c>
      <c r="H2" s="3">
        <v>0.95572801420945719</v>
      </c>
    </row>
    <row r="3" spans="1:8" x14ac:dyDescent="0.25">
      <c r="A3" s="3" t="s">
        <v>5</v>
      </c>
      <c r="B3" s="3">
        <v>2</v>
      </c>
      <c r="C3" s="3" t="s">
        <v>6</v>
      </c>
      <c r="D3" s="3">
        <v>1</v>
      </c>
      <c r="E3" s="14">
        <v>13889</v>
      </c>
      <c r="F3" s="17">
        <v>17800</v>
      </c>
      <c r="G3" s="3" t="s">
        <v>7</v>
      </c>
      <c r="H3" s="3">
        <v>0.60853160518826954</v>
      </c>
    </row>
    <row r="4" spans="1:8" x14ac:dyDescent="0.25">
      <c r="A4" s="3" t="s">
        <v>8</v>
      </c>
      <c r="B4" s="3">
        <v>3</v>
      </c>
      <c r="C4" s="3" t="s">
        <v>3</v>
      </c>
      <c r="D4" s="3">
        <v>4</v>
      </c>
      <c r="E4" s="14">
        <v>17292</v>
      </c>
      <c r="F4" s="17">
        <v>25000</v>
      </c>
      <c r="G4" s="3" t="s">
        <v>4</v>
      </c>
      <c r="H4" s="3">
        <v>0.46409164198135733</v>
      </c>
    </row>
    <row r="5" spans="1:8" x14ac:dyDescent="0.25">
      <c r="A5" s="3" t="s">
        <v>9</v>
      </c>
      <c r="B5" s="3">
        <v>4</v>
      </c>
      <c r="C5" s="3" t="s">
        <v>6</v>
      </c>
      <c r="D5" s="3">
        <v>4</v>
      </c>
      <c r="E5" s="14">
        <v>7483</v>
      </c>
      <c r="F5" s="17">
        <v>5000</v>
      </c>
      <c r="G5" s="3" t="s">
        <v>10</v>
      </c>
      <c r="H5" s="3">
        <v>0.82035305679559034</v>
      </c>
    </row>
    <row r="6" spans="1:8" x14ac:dyDescent="0.25">
      <c r="A6" s="3" t="s">
        <v>11</v>
      </c>
      <c r="B6" s="3">
        <v>5</v>
      </c>
      <c r="C6" s="3" t="s">
        <v>3</v>
      </c>
      <c r="D6" s="3">
        <v>2</v>
      </c>
      <c r="E6" s="14">
        <v>38792</v>
      </c>
      <c r="F6" s="17">
        <v>15000</v>
      </c>
      <c r="G6" s="3" t="s">
        <v>4</v>
      </c>
      <c r="H6" s="3">
        <v>0.98586679797782095</v>
      </c>
    </row>
    <row r="7" spans="1:8" x14ac:dyDescent="0.25">
      <c r="A7" s="3" t="s">
        <v>12</v>
      </c>
      <c r="B7" s="3">
        <v>6</v>
      </c>
      <c r="C7" s="3" t="s">
        <v>13</v>
      </c>
      <c r="D7" s="3">
        <v>4</v>
      </c>
      <c r="E7" s="14">
        <v>7171</v>
      </c>
      <c r="F7" s="17">
        <v>8600</v>
      </c>
      <c r="G7" s="3" t="s">
        <v>14</v>
      </c>
      <c r="H7" s="3">
        <v>0.34532032271520041</v>
      </c>
    </row>
    <row r="8" spans="1:8" x14ac:dyDescent="0.25">
      <c r="A8" s="3" t="s">
        <v>15</v>
      </c>
      <c r="B8" s="3">
        <v>7</v>
      </c>
      <c r="C8" s="3" t="s">
        <v>3</v>
      </c>
      <c r="D8" s="3">
        <v>5</v>
      </c>
      <c r="E8" s="14">
        <v>11550</v>
      </c>
      <c r="F8" s="17">
        <v>15000</v>
      </c>
      <c r="G8" s="3" t="s">
        <v>10</v>
      </c>
      <c r="H8" s="3">
        <v>0.71779017293294534</v>
      </c>
    </row>
    <row r="9" spans="1:8" x14ac:dyDescent="0.25">
      <c r="A9" s="3" t="s">
        <v>16</v>
      </c>
      <c r="B9" s="3">
        <v>8</v>
      </c>
      <c r="C9" s="3" t="s">
        <v>6</v>
      </c>
      <c r="D9" s="3">
        <v>4</v>
      </c>
      <c r="E9" s="14">
        <v>17933</v>
      </c>
      <c r="F9" s="17">
        <v>13600</v>
      </c>
      <c r="G9" s="3" t="s">
        <v>10</v>
      </c>
      <c r="H9" s="3">
        <v>2.6357764133244199E-2</v>
      </c>
    </row>
    <row r="10" spans="1:8" x14ac:dyDescent="0.25">
      <c r="A10" s="3" t="s">
        <v>17</v>
      </c>
      <c r="B10" s="3">
        <v>9</v>
      </c>
      <c r="C10" s="3" t="s">
        <v>6</v>
      </c>
      <c r="D10" s="3">
        <v>1</v>
      </c>
      <c r="E10" s="14">
        <v>2467</v>
      </c>
      <c r="F10" s="17">
        <v>2000</v>
      </c>
      <c r="G10" s="3" t="s">
        <v>18</v>
      </c>
      <c r="H10" s="3">
        <v>9.0376453902620391E-2</v>
      </c>
    </row>
    <row r="11" spans="1:8" x14ac:dyDescent="0.25">
      <c r="A11" s="3" t="s">
        <v>19</v>
      </c>
      <c r="B11" s="3">
        <v>10</v>
      </c>
      <c r="C11" s="3" t="s">
        <v>13</v>
      </c>
      <c r="D11" s="3">
        <v>3</v>
      </c>
      <c r="E11" s="14">
        <v>6338</v>
      </c>
      <c r="F11" s="17">
        <v>6500</v>
      </c>
      <c r="G11" s="3" t="s">
        <v>20</v>
      </c>
      <c r="H11" s="3">
        <v>0.68818968861580621</v>
      </c>
    </row>
    <row r="12" spans="1:8" x14ac:dyDescent="0.25">
      <c r="A12" s="3" t="s">
        <v>21</v>
      </c>
      <c r="B12" s="3">
        <v>11</v>
      </c>
      <c r="C12" s="3" t="s">
        <v>6</v>
      </c>
      <c r="D12" s="3">
        <v>4</v>
      </c>
      <c r="E12" s="14">
        <v>13900</v>
      </c>
      <c r="F12" s="17">
        <v>11000</v>
      </c>
      <c r="G12" s="3" t="s">
        <v>4</v>
      </c>
      <c r="H12" s="3">
        <v>0.48024769296674763</v>
      </c>
    </row>
    <row r="13" spans="1:8" x14ac:dyDescent="0.25">
      <c r="A13" s="3" t="s">
        <v>22</v>
      </c>
      <c r="B13" s="3">
        <v>12</v>
      </c>
      <c r="C13" s="3" t="s">
        <v>6</v>
      </c>
      <c r="D13" s="3">
        <v>4</v>
      </c>
      <c r="E13" s="14">
        <v>11225</v>
      </c>
      <c r="F13" s="17">
        <v>6500</v>
      </c>
      <c r="G13" s="3" t="s">
        <v>10</v>
      </c>
      <c r="H13" s="3">
        <v>0.82126083532104488</v>
      </c>
    </row>
    <row r="14" spans="1:8" x14ac:dyDescent="0.25">
      <c r="A14" s="3" t="s">
        <v>23</v>
      </c>
      <c r="B14" s="3">
        <v>13</v>
      </c>
      <c r="C14" s="3" t="s">
        <v>24</v>
      </c>
      <c r="D14" s="3">
        <v>2</v>
      </c>
      <c r="E14" s="14">
        <v>4770</v>
      </c>
      <c r="F14" s="17">
        <v>3000</v>
      </c>
      <c r="G14" s="3" t="s">
        <v>4</v>
      </c>
      <c r="H14" s="3">
        <v>0.49388861183890476</v>
      </c>
    </row>
    <row r="15" spans="1:8" x14ac:dyDescent="0.25">
      <c r="A15" s="3" t="s">
        <v>25</v>
      </c>
      <c r="B15" s="3">
        <v>14</v>
      </c>
      <c r="C15" s="3" t="s">
        <v>6</v>
      </c>
      <c r="D15" s="3">
        <v>6</v>
      </c>
      <c r="E15" s="14">
        <v>15317</v>
      </c>
      <c r="F15" s="17">
        <v>10000</v>
      </c>
      <c r="G15" s="3" t="s">
        <v>7</v>
      </c>
      <c r="H15" s="3">
        <v>0.88651966054828135</v>
      </c>
    </row>
    <row r="16" spans="1:8" x14ac:dyDescent="0.25">
      <c r="A16" s="3" t="s">
        <v>26</v>
      </c>
      <c r="B16" s="3">
        <v>15</v>
      </c>
      <c r="C16" s="3" t="s">
        <v>6</v>
      </c>
      <c r="D16" s="3">
        <v>6</v>
      </c>
      <c r="E16" s="14">
        <v>24667</v>
      </c>
      <c r="F16" s="17">
        <v>18500</v>
      </c>
      <c r="G16" s="3" t="s">
        <v>4</v>
      </c>
      <c r="H16" s="3">
        <v>0.54691628919063873</v>
      </c>
    </row>
    <row r="17" spans="1:8" x14ac:dyDescent="0.25">
      <c r="A17" s="3" t="s">
        <v>27</v>
      </c>
      <c r="B17" s="3">
        <v>16</v>
      </c>
      <c r="C17" s="3" t="s">
        <v>6</v>
      </c>
      <c r="D17" s="3">
        <v>2</v>
      </c>
      <c r="E17" s="14">
        <v>8375</v>
      </c>
      <c r="F17" s="17">
        <v>8500</v>
      </c>
      <c r="G17" s="3" t="s">
        <v>7</v>
      </c>
      <c r="H17" s="3">
        <v>0.80583993127294662</v>
      </c>
    </row>
    <row r="18" spans="1:8" x14ac:dyDescent="0.25">
      <c r="A18" s="3" t="s">
        <v>28</v>
      </c>
      <c r="B18" s="3">
        <v>17</v>
      </c>
      <c r="C18" s="3" t="s">
        <v>6</v>
      </c>
      <c r="D18" s="3">
        <v>8</v>
      </c>
      <c r="E18" s="14">
        <v>15500</v>
      </c>
      <c r="F18" s="17">
        <v>18000</v>
      </c>
      <c r="G18" s="3" t="s">
        <v>4</v>
      </c>
      <c r="H18" s="3">
        <v>0.88720055182175239</v>
      </c>
    </row>
    <row r="19" spans="1:8" x14ac:dyDescent="0.25">
      <c r="A19" s="3" t="s">
        <v>29</v>
      </c>
      <c r="B19" s="3">
        <v>18</v>
      </c>
      <c r="C19" s="3" t="s">
        <v>6</v>
      </c>
      <c r="D19" s="3">
        <v>14</v>
      </c>
      <c r="E19" s="14">
        <v>19985</v>
      </c>
      <c r="F19" s="17">
        <v>10740</v>
      </c>
      <c r="G19" s="3" t="s">
        <v>4</v>
      </c>
      <c r="H19" s="3">
        <v>0.77866444737475615</v>
      </c>
    </row>
    <row r="20" spans="1:8" x14ac:dyDescent="0.25">
      <c r="A20" s="3" t="s">
        <v>30</v>
      </c>
      <c r="B20" s="3">
        <v>19</v>
      </c>
      <c r="C20" s="3" t="s">
        <v>6</v>
      </c>
      <c r="D20" s="3">
        <v>4</v>
      </c>
      <c r="E20" s="14">
        <v>9800</v>
      </c>
      <c r="F20" s="17">
        <v>10000</v>
      </c>
      <c r="G20" s="3" t="s">
        <v>4</v>
      </c>
      <c r="H20" s="3">
        <v>0.66386804923409748</v>
      </c>
    </row>
    <row r="21" spans="1:8" x14ac:dyDescent="0.25">
      <c r="A21" s="3" t="s">
        <v>31</v>
      </c>
      <c r="B21" s="3">
        <v>20</v>
      </c>
      <c r="C21" s="3" t="s">
        <v>6</v>
      </c>
      <c r="D21" s="3">
        <v>2</v>
      </c>
      <c r="E21" s="14">
        <v>4992</v>
      </c>
      <c r="F21" s="17">
        <v>3500</v>
      </c>
      <c r="G21" s="3" t="s">
        <v>10</v>
      </c>
      <c r="H21" s="3">
        <v>0.76582436719256841</v>
      </c>
    </row>
    <row r="22" spans="1:8" x14ac:dyDescent="0.25">
      <c r="A22" s="3" t="s">
        <v>32</v>
      </c>
      <c r="B22" s="3">
        <v>21</v>
      </c>
      <c r="C22" s="3" t="s">
        <v>6</v>
      </c>
      <c r="D22" s="3">
        <v>6</v>
      </c>
      <c r="E22" s="14">
        <v>6320</v>
      </c>
      <c r="F22" s="17">
        <v>12000</v>
      </c>
      <c r="G22" s="3" t="s">
        <v>14</v>
      </c>
      <c r="H22" s="3">
        <v>0.86838344820924618</v>
      </c>
    </row>
    <row r="23" spans="1:8" x14ac:dyDescent="0.25">
      <c r="A23" s="3" t="s">
        <v>33</v>
      </c>
      <c r="B23" s="3">
        <v>22</v>
      </c>
      <c r="C23" s="3" t="s">
        <v>3</v>
      </c>
      <c r="D23" s="3">
        <v>4</v>
      </c>
      <c r="E23" s="14">
        <v>15450</v>
      </c>
      <c r="F23" s="17">
        <v>9000</v>
      </c>
      <c r="G23" s="3" t="s">
        <v>34</v>
      </c>
      <c r="H23" s="3">
        <v>0.4166376544809729</v>
      </c>
    </row>
    <row r="24" spans="1:8" x14ac:dyDescent="0.25">
      <c r="A24" s="3" t="s">
        <v>35</v>
      </c>
      <c r="B24" s="3">
        <v>23</v>
      </c>
      <c r="C24" s="3" t="s">
        <v>6</v>
      </c>
      <c r="D24" s="3">
        <v>3</v>
      </c>
      <c r="E24" s="14">
        <v>15908</v>
      </c>
      <c r="F24" s="17">
        <v>8500</v>
      </c>
      <c r="G24" s="3" t="s">
        <v>34</v>
      </c>
      <c r="H24" s="3">
        <v>0.56624578564586547</v>
      </c>
    </row>
    <row r="25" spans="1:8" x14ac:dyDescent="0.25">
      <c r="A25" s="3" t="s">
        <v>36</v>
      </c>
      <c r="B25" s="3">
        <v>24</v>
      </c>
      <c r="C25" s="3" t="s">
        <v>6</v>
      </c>
      <c r="D25" s="3">
        <v>4</v>
      </c>
      <c r="E25" s="14">
        <v>9717</v>
      </c>
      <c r="F25" s="17">
        <v>9000</v>
      </c>
      <c r="G25" s="3" t="s">
        <v>7</v>
      </c>
      <c r="H25" s="3">
        <v>0.44158768227465406</v>
      </c>
    </row>
    <row r="26" spans="1:8" x14ac:dyDescent="0.25">
      <c r="A26" s="3" t="s">
        <v>37</v>
      </c>
      <c r="B26" s="3">
        <v>25</v>
      </c>
      <c r="C26" s="3" t="s">
        <v>6</v>
      </c>
      <c r="D26" s="3">
        <v>3</v>
      </c>
      <c r="E26" s="14">
        <v>6425</v>
      </c>
      <c r="F26" s="17">
        <v>3000</v>
      </c>
      <c r="G26" s="3" t="s">
        <v>7</v>
      </c>
      <c r="H26" s="3">
        <v>0.63342668437866567</v>
      </c>
    </row>
    <row r="27" spans="1:8" x14ac:dyDescent="0.25">
      <c r="A27" s="3" t="s">
        <v>38</v>
      </c>
      <c r="B27" s="3">
        <v>26</v>
      </c>
      <c r="C27" s="3" t="s">
        <v>24</v>
      </c>
      <c r="D27" s="3">
        <v>4</v>
      </c>
      <c r="E27" s="14">
        <v>6026</v>
      </c>
      <c r="F27" s="17">
        <v>4650</v>
      </c>
      <c r="G27" s="3" t="s">
        <v>4</v>
      </c>
      <c r="H27" s="3">
        <v>0.45037165444230665</v>
      </c>
    </row>
    <row r="28" spans="1:8" x14ac:dyDescent="0.25">
      <c r="A28" s="3" t="s">
        <v>39</v>
      </c>
      <c r="B28" s="3">
        <v>27</v>
      </c>
      <c r="C28" s="3" t="s">
        <v>3</v>
      </c>
      <c r="D28" s="3">
        <v>4</v>
      </c>
      <c r="E28" s="14">
        <v>7750</v>
      </c>
      <c r="F28" s="17">
        <v>15000</v>
      </c>
      <c r="G28" s="3" t="s">
        <v>7</v>
      </c>
      <c r="H28" s="3">
        <v>0.20009520398250136</v>
      </c>
    </row>
    <row r="29" spans="1:8" x14ac:dyDescent="0.25">
      <c r="A29" s="3" t="s">
        <v>40</v>
      </c>
      <c r="B29" s="3">
        <v>28</v>
      </c>
      <c r="C29" s="3" t="s">
        <v>24</v>
      </c>
      <c r="D29" s="3">
        <v>1</v>
      </c>
      <c r="E29" s="14">
        <v>3817</v>
      </c>
      <c r="F29" s="17">
        <v>2000</v>
      </c>
      <c r="G29" s="3" t="s">
        <v>7</v>
      </c>
      <c r="H29" s="3">
        <v>0.88032785771428745</v>
      </c>
    </row>
    <row r="30" spans="1:8" x14ac:dyDescent="0.25">
      <c r="A30" s="3" t="s">
        <v>41</v>
      </c>
      <c r="B30" s="3">
        <v>29</v>
      </c>
      <c r="C30" s="3" t="s">
        <v>3</v>
      </c>
      <c r="D30" s="3">
        <v>1</v>
      </c>
      <c r="E30" s="14">
        <v>8272</v>
      </c>
      <c r="F30" s="17">
        <v>4500</v>
      </c>
      <c r="G30" s="3" t="s">
        <v>42</v>
      </c>
      <c r="H30" s="3">
        <v>8.9694774183883275E-2</v>
      </c>
    </row>
    <row r="31" spans="1:8" x14ac:dyDescent="0.25">
      <c r="A31" s="3" t="s">
        <v>43</v>
      </c>
      <c r="B31" s="3">
        <v>30</v>
      </c>
      <c r="C31" s="3" t="s">
        <v>6</v>
      </c>
      <c r="D31" s="3">
        <v>5</v>
      </c>
      <c r="E31" s="14">
        <v>33967</v>
      </c>
      <c r="F31" s="17">
        <v>25000</v>
      </c>
      <c r="G31" s="3" t="s">
        <v>14</v>
      </c>
      <c r="H31" s="3">
        <v>0.17043514321972564</v>
      </c>
    </row>
    <row r="32" spans="1:8" x14ac:dyDescent="0.25">
      <c r="A32" s="3" t="s">
        <v>44</v>
      </c>
      <c r="B32" s="3">
        <v>31</v>
      </c>
      <c r="C32" s="3" t="s">
        <v>6</v>
      </c>
      <c r="D32" s="3">
        <v>5</v>
      </c>
      <c r="E32" s="14">
        <v>22342</v>
      </c>
      <c r="F32" s="17">
        <v>14500</v>
      </c>
      <c r="G32" s="3" t="s">
        <v>45</v>
      </c>
      <c r="H32" s="3">
        <v>0.14031370229254991</v>
      </c>
    </row>
    <row r="33" spans="1:8" x14ac:dyDescent="0.25">
      <c r="A33" s="3" t="s">
        <v>46</v>
      </c>
      <c r="B33" s="3">
        <v>32</v>
      </c>
      <c r="C33" s="3" t="s">
        <v>6</v>
      </c>
      <c r="D33" s="3">
        <v>3</v>
      </c>
      <c r="E33" s="14">
        <v>10542</v>
      </c>
      <c r="F33" s="17">
        <v>10000</v>
      </c>
      <c r="G33" s="3" t="s">
        <v>10</v>
      </c>
      <c r="H33" s="3">
        <v>0.82578456049850713</v>
      </c>
    </row>
    <row r="34" spans="1:8" x14ac:dyDescent="0.25">
      <c r="A34" s="3" t="s">
        <v>47</v>
      </c>
      <c r="B34" s="3">
        <v>33</v>
      </c>
      <c r="C34" s="3" t="s">
        <v>3</v>
      </c>
      <c r="D34" s="3">
        <v>5</v>
      </c>
      <c r="E34" s="14">
        <v>13333</v>
      </c>
      <c r="F34" s="17">
        <v>3000</v>
      </c>
      <c r="G34" s="3" t="s">
        <v>10</v>
      </c>
      <c r="H34" s="3">
        <v>0.62843293207133921</v>
      </c>
    </row>
    <row r="35" spans="1:8" x14ac:dyDescent="0.25">
      <c r="A35" s="3" t="s">
        <v>48</v>
      </c>
      <c r="B35" s="3">
        <v>34</v>
      </c>
      <c r="C35" s="3" t="s">
        <v>3</v>
      </c>
      <c r="D35" s="3">
        <v>2</v>
      </c>
      <c r="E35" s="14">
        <v>28303</v>
      </c>
      <c r="F35" s="17">
        <v>45000</v>
      </c>
      <c r="G35" s="3" t="s">
        <v>45</v>
      </c>
      <c r="H35" s="3">
        <v>0.69439052258075595</v>
      </c>
    </row>
    <row r="36" spans="1:8" x14ac:dyDescent="0.25">
      <c r="A36" s="3" t="s">
        <v>49</v>
      </c>
      <c r="B36" s="3">
        <v>35</v>
      </c>
      <c r="C36" s="3" t="s">
        <v>6</v>
      </c>
      <c r="D36" s="3">
        <v>3</v>
      </c>
      <c r="E36" s="14">
        <v>15502</v>
      </c>
      <c r="F36" s="17">
        <v>3500</v>
      </c>
      <c r="G36" s="3" t="s">
        <v>4</v>
      </c>
      <c r="H36" s="3">
        <v>0.3178194089247699</v>
      </c>
    </row>
    <row r="37" spans="1:8" x14ac:dyDescent="0.25">
      <c r="A37" s="3" t="s">
        <v>50</v>
      </c>
      <c r="B37" s="3">
        <v>36</v>
      </c>
      <c r="C37" s="3" t="s">
        <v>6</v>
      </c>
      <c r="D37" s="3">
        <v>4</v>
      </c>
      <c r="E37" s="14">
        <v>20792</v>
      </c>
      <c r="F37" s="17">
        <v>45000</v>
      </c>
      <c r="G37" s="3" t="s">
        <v>14</v>
      </c>
      <c r="H37" s="3">
        <v>0.63129127591545453</v>
      </c>
    </row>
    <row r="38" spans="1:8" x14ac:dyDescent="0.25">
      <c r="A38" s="3" t="s">
        <v>51</v>
      </c>
      <c r="B38" s="3">
        <v>37</v>
      </c>
      <c r="C38" s="3" t="s">
        <v>24</v>
      </c>
      <c r="D38" s="3">
        <v>4</v>
      </c>
      <c r="E38" s="14">
        <v>6833</v>
      </c>
      <c r="F38" s="17">
        <v>4000</v>
      </c>
      <c r="G38" s="3" t="s">
        <v>10</v>
      </c>
      <c r="H38" s="3">
        <v>0.35902792370362357</v>
      </c>
    </row>
    <row r="39" spans="1:8" x14ac:dyDescent="0.25">
      <c r="A39" s="3" t="s">
        <v>52</v>
      </c>
      <c r="B39" s="3">
        <v>38</v>
      </c>
      <c r="C39" s="3" t="s">
        <v>6</v>
      </c>
      <c r="D39" s="3">
        <v>3</v>
      </c>
      <c r="E39" s="14">
        <v>23750</v>
      </c>
      <c r="F39" s="17">
        <v>15000</v>
      </c>
      <c r="G39" s="3" t="s">
        <v>4</v>
      </c>
      <c r="H39" s="3">
        <v>0.80123673601273293</v>
      </c>
    </row>
    <row r="40" spans="1:8" x14ac:dyDescent="0.25">
      <c r="A40" s="3" t="s">
        <v>53</v>
      </c>
      <c r="B40" s="3">
        <v>39</v>
      </c>
      <c r="C40" s="3" t="s">
        <v>3</v>
      </c>
      <c r="D40" s="3">
        <v>1</v>
      </c>
      <c r="E40" s="14">
        <v>6833</v>
      </c>
      <c r="F40" s="17">
        <v>3000</v>
      </c>
      <c r="G40" s="3" t="s">
        <v>14</v>
      </c>
      <c r="H40" s="3">
        <v>0.90256385100255632</v>
      </c>
    </row>
    <row r="41" spans="1:8" x14ac:dyDescent="0.25">
      <c r="A41" s="3" t="s">
        <v>54</v>
      </c>
      <c r="B41" s="3">
        <v>40</v>
      </c>
      <c r="C41" s="3" t="s">
        <v>6</v>
      </c>
      <c r="D41" s="3">
        <v>1</v>
      </c>
      <c r="E41" s="14">
        <v>6058</v>
      </c>
      <c r="F41" s="17">
        <v>3100</v>
      </c>
      <c r="G41" s="3" t="s">
        <v>14</v>
      </c>
      <c r="H41" s="3">
        <v>0.20062617063438759</v>
      </c>
    </row>
    <row r="42" spans="1:8" x14ac:dyDescent="0.25">
      <c r="A42" s="3" t="s">
        <v>55</v>
      </c>
      <c r="B42" s="3">
        <v>41</v>
      </c>
      <c r="C42" s="3" t="s">
        <v>6</v>
      </c>
      <c r="D42" s="3">
        <v>5</v>
      </c>
      <c r="E42" s="14">
        <v>19333</v>
      </c>
      <c r="F42" s="17">
        <v>6000</v>
      </c>
      <c r="G42" s="3" t="s">
        <v>14</v>
      </c>
      <c r="H42" s="3">
        <v>0.73663430948419129</v>
      </c>
    </row>
    <row r="43" spans="1:8" x14ac:dyDescent="0.25">
      <c r="A43" s="3" t="s">
        <v>56</v>
      </c>
      <c r="B43" s="3">
        <v>42</v>
      </c>
      <c r="C43" s="3" t="s">
        <v>13</v>
      </c>
      <c r="D43" s="3">
        <v>5</v>
      </c>
      <c r="E43" s="14">
        <v>19917</v>
      </c>
      <c r="F43" s="17">
        <v>10000</v>
      </c>
      <c r="G43" s="3" t="s">
        <v>4</v>
      </c>
      <c r="H43" s="3">
        <v>0.86836588216661292</v>
      </c>
    </row>
    <row r="44" spans="1:8" x14ac:dyDescent="0.25">
      <c r="A44" s="3" t="s">
        <v>57</v>
      </c>
      <c r="B44" s="3">
        <v>43</v>
      </c>
      <c r="C44" s="3" t="s">
        <v>6</v>
      </c>
      <c r="D44" s="3">
        <v>3</v>
      </c>
      <c r="E44" s="14">
        <v>18167</v>
      </c>
      <c r="F44" s="17">
        <v>8000</v>
      </c>
      <c r="G44" s="3" t="s">
        <v>14</v>
      </c>
      <c r="H44" s="3">
        <v>0.82286381379969409</v>
      </c>
    </row>
    <row r="45" spans="1:8" x14ac:dyDescent="0.25">
      <c r="A45" s="3" t="s">
        <v>58</v>
      </c>
      <c r="B45" s="3">
        <v>44</v>
      </c>
      <c r="C45" s="3" t="s">
        <v>6</v>
      </c>
      <c r="D45" s="3">
        <v>5</v>
      </c>
      <c r="E45" s="14">
        <v>7020</v>
      </c>
      <c r="F45" s="17">
        <v>12000</v>
      </c>
      <c r="G45" s="3" t="s">
        <v>34</v>
      </c>
      <c r="H45" s="3">
        <v>0.33869359891733675</v>
      </c>
    </row>
    <row r="46" spans="1:8" x14ac:dyDescent="0.25">
      <c r="A46" s="3" t="s">
        <v>59</v>
      </c>
      <c r="B46" s="3">
        <v>45</v>
      </c>
      <c r="C46" s="3" t="s">
        <v>6</v>
      </c>
      <c r="D46" s="3">
        <v>4</v>
      </c>
      <c r="E46" s="14">
        <v>13042</v>
      </c>
      <c r="F46" s="17">
        <v>7500</v>
      </c>
      <c r="G46" s="3" t="s">
        <v>7</v>
      </c>
      <c r="H46" s="3">
        <v>0.49526828519315991</v>
      </c>
    </row>
    <row r="47" spans="1:8" x14ac:dyDescent="0.25">
      <c r="A47" s="3" t="s">
        <v>60</v>
      </c>
      <c r="B47" s="3">
        <v>46</v>
      </c>
      <c r="C47" s="3" t="s">
        <v>24</v>
      </c>
      <c r="D47" s="3">
        <v>2</v>
      </c>
      <c r="E47" s="14">
        <v>10452</v>
      </c>
      <c r="F47" s="17">
        <v>6500</v>
      </c>
      <c r="G47" s="3" t="s">
        <v>10</v>
      </c>
      <c r="H47" s="3">
        <v>0.86104104278909144</v>
      </c>
    </row>
    <row r="48" spans="1:8" x14ac:dyDescent="0.25">
      <c r="A48" s="3" t="s">
        <v>61</v>
      </c>
      <c r="B48" s="3">
        <v>47</v>
      </c>
      <c r="C48" s="3" t="s">
        <v>3</v>
      </c>
      <c r="D48" s="3">
        <v>2</v>
      </c>
      <c r="E48" s="14">
        <v>5000</v>
      </c>
      <c r="F48" s="17">
        <v>5000</v>
      </c>
      <c r="G48" s="3" t="s">
        <v>20</v>
      </c>
      <c r="H48" s="3">
        <v>0.23575428849098712</v>
      </c>
    </row>
    <row r="49" spans="1:8" x14ac:dyDescent="0.25">
      <c r="A49" s="3" t="s">
        <v>62</v>
      </c>
      <c r="B49" s="3">
        <v>48</v>
      </c>
      <c r="C49" s="3" t="s">
        <v>24</v>
      </c>
      <c r="D49" s="3">
        <v>5</v>
      </c>
      <c r="E49" s="14">
        <v>11602</v>
      </c>
      <c r="F49" s="17">
        <v>7000</v>
      </c>
      <c r="G49" s="3" t="s">
        <v>14</v>
      </c>
      <c r="H49" s="3">
        <v>0.11874357413205383</v>
      </c>
    </row>
    <row r="50" spans="1:8" x14ac:dyDescent="0.25">
      <c r="A50" s="3" t="s">
        <v>63</v>
      </c>
      <c r="B50" s="3">
        <v>49</v>
      </c>
      <c r="C50" s="3" t="s">
        <v>6</v>
      </c>
      <c r="D50" s="3">
        <v>6</v>
      </c>
      <c r="E50" s="14">
        <v>16042</v>
      </c>
      <c r="F50" s="17">
        <v>12500</v>
      </c>
      <c r="G50" s="3" t="s">
        <v>4</v>
      </c>
      <c r="H50" s="3">
        <v>0.47533067492774672</v>
      </c>
    </row>
    <row r="51" spans="1:8" x14ac:dyDescent="0.25">
      <c r="A51" s="3" t="s">
        <v>64</v>
      </c>
      <c r="B51" s="3">
        <v>50</v>
      </c>
      <c r="C51" s="3" t="s">
        <v>3</v>
      </c>
      <c r="D51" s="3">
        <v>2</v>
      </c>
      <c r="E51" s="14">
        <v>12000</v>
      </c>
      <c r="F51" s="17">
        <v>10000</v>
      </c>
      <c r="G51" s="3" t="s">
        <v>4</v>
      </c>
      <c r="H51" s="3">
        <v>0.58265893629427379</v>
      </c>
    </row>
    <row r="52" spans="1:8" x14ac:dyDescent="0.25">
      <c r="A52" s="3" t="s">
        <v>65</v>
      </c>
      <c r="B52" s="3">
        <v>51</v>
      </c>
      <c r="C52" s="3" t="s">
        <v>3</v>
      </c>
      <c r="D52" s="3">
        <v>2</v>
      </c>
      <c r="E52" s="14">
        <v>3133</v>
      </c>
      <c r="F52" s="17">
        <v>4000</v>
      </c>
      <c r="G52" s="3" t="s">
        <v>20</v>
      </c>
      <c r="H52" s="3">
        <v>0.84545236487574293</v>
      </c>
    </row>
    <row r="53" spans="1:8" x14ac:dyDescent="0.25">
      <c r="A53" s="3" t="s">
        <v>66</v>
      </c>
      <c r="B53" s="3">
        <v>52</v>
      </c>
      <c r="C53" s="3" t="s">
        <v>24</v>
      </c>
      <c r="D53" s="3">
        <v>8</v>
      </c>
      <c r="E53" s="14">
        <v>13183</v>
      </c>
      <c r="F53" s="17">
        <v>9500</v>
      </c>
      <c r="G53" s="3" t="s">
        <v>4</v>
      </c>
      <c r="H53" s="3">
        <v>0.91479802208341299</v>
      </c>
    </row>
    <row r="54" spans="1:8" x14ac:dyDescent="0.25">
      <c r="A54" s="3" t="s">
        <v>67</v>
      </c>
      <c r="B54" s="3">
        <v>53</v>
      </c>
      <c r="C54" s="3" t="s">
        <v>13</v>
      </c>
      <c r="D54" s="3">
        <v>3</v>
      </c>
      <c r="E54" s="14">
        <v>16805</v>
      </c>
      <c r="F54" s="17">
        <v>9660</v>
      </c>
      <c r="G54" s="3" t="s">
        <v>4</v>
      </c>
      <c r="H54" s="3">
        <v>0.94767775422052825</v>
      </c>
    </row>
    <row r="55" spans="1:8" x14ac:dyDescent="0.25">
      <c r="A55" s="3" t="s">
        <v>68</v>
      </c>
      <c r="B55" s="3">
        <v>54</v>
      </c>
      <c r="C55" s="3" t="s">
        <v>6</v>
      </c>
      <c r="D55" s="3">
        <v>3</v>
      </c>
      <c r="E55" s="14">
        <v>51300</v>
      </c>
      <c r="F55" s="17">
        <v>15000</v>
      </c>
      <c r="G55" s="3" t="s">
        <v>45</v>
      </c>
      <c r="H55" s="3">
        <v>0.12608182275729374</v>
      </c>
    </row>
    <row r="56" spans="1:8" x14ac:dyDescent="0.25">
      <c r="A56" s="3" t="s">
        <v>69</v>
      </c>
      <c r="B56" s="3">
        <v>55</v>
      </c>
      <c r="C56" s="3" t="s">
        <v>24</v>
      </c>
      <c r="D56" s="3">
        <v>5</v>
      </c>
      <c r="E56" s="14">
        <v>12542</v>
      </c>
      <c r="F56" s="17">
        <v>11000</v>
      </c>
      <c r="G56" s="3" t="s">
        <v>14</v>
      </c>
      <c r="H56" s="3">
        <v>0.13677589217768771</v>
      </c>
    </row>
    <row r="57" spans="1:8" x14ac:dyDescent="0.25">
      <c r="A57" s="3" t="s">
        <v>70</v>
      </c>
      <c r="B57" s="3">
        <v>56</v>
      </c>
      <c r="C57" s="3" t="s">
        <v>24</v>
      </c>
      <c r="D57" s="3">
        <v>4</v>
      </c>
      <c r="E57" s="14">
        <v>9783</v>
      </c>
      <c r="F57" s="17">
        <v>7000</v>
      </c>
      <c r="G57" s="3" t="s">
        <v>14</v>
      </c>
      <c r="H57" s="3">
        <v>2.5070650913696868E-2</v>
      </c>
    </row>
    <row r="58" spans="1:8" x14ac:dyDescent="0.25">
      <c r="A58" s="3" t="s">
        <v>71</v>
      </c>
      <c r="B58" s="3">
        <v>57</v>
      </c>
      <c r="C58" s="3" t="s">
        <v>3</v>
      </c>
      <c r="D58" s="3">
        <v>4</v>
      </c>
      <c r="E58" s="14">
        <v>11653</v>
      </c>
      <c r="F58" s="17">
        <v>10000</v>
      </c>
      <c r="G58" s="3" t="s">
        <v>7</v>
      </c>
      <c r="H58" s="3">
        <v>0.74348557117836778</v>
      </c>
    </row>
    <row r="59" spans="1:8" x14ac:dyDescent="0.25">
      <c r="A59" s="3" t="s">
        <v>72</v>
      </c>
      <c r="B59" s="3">
        <v>58</v>
      </c>
      <c r="C59" s="3" t="s">
        <v>3</v>
      </c>
      <c r="D59" s="3">
        <v>4</v>
      </c>
      <c r="E59" s="14">
        <v>13425</v>
      </c>
      <c r="F59" s="17">
        <v>18600</v>
      </c>
      <c r="G59" s="3" t="s">
        <v>45</v>
      </c>
      <c r="H59" s="3">
        <v>0.91401973672647852</v>
      </c>
    </row>
    <row r="60" spans="1:8" x14ac:dyDescent="0.25">
      <c r="A60" s="3" t="s">
        <v>73</v>
      </c>
      <c r="B60" s="3">
        <v>59</v>
      </c>
      <c r="C60" s="3" t="s">
        <v>6</v>
      </c>
      <c r="D60" s="3">
        <v>5</v>
      </c>
      <c r="E60" s="14">
        <v>12467</v>
      </c>
      <c r="F60" s="17">
        <v>7000</v>
      </c>
      <c r="G60" s="3" t="s">
        <v>14</v>
      </c>
      <c r="H60" s="3">
        <v>0.54119534405137348</v>
      </c>
    </row>
    <row r="61" spans="1:8" x14ac:dyDescent="0.25">
      <c r="A61" s="3" t="s">
        <v>74</v>
      </c>
      <c r="B61" s="3">
        <v>60</v>
      </c>
      <c r="C61" s="3" t="s">
        <v>6</v>
      </c>
      <c r="D61" s="3">
        <v>3</v>
      </c>
      <c r="E61" s="14">
        <v>8025</v>
      </c>
      <c r="F61" s="17">
        <v>13500</v>
      </c>
      <c r="G61" s="3" t="s">
        <v>45</v>
      </c>
      <c r="H61" s="3">
        <v>6.6453197590920943E-2</v>
      </c>
    </row>
    <row r="62" spans="1:8" x14ac:dyDescent="0.25">
      <c r="A62" s="3" t="s">
        <v>75</v>
      </c>
      <c r="B62" s="3">
        <v>61</v>
      </c>
      <c r="C62" s="3" t="s">
        <v>3</v>
      </c>
      <c r="D62" s="3">
        <v>7</v>
      </c>
      <c r="E62" s="14">
        <v>13850</v>
      </c>
      <c r="F62" s="17">
        <v>20000</v>
      </c>
      <c r="G62" s="3" t="s">
        <v>14</v>
      </c>
      <c r="H62" s="3">
        <v>0.24270057917580834</v>
      </c>
    </row>
    <row r="63" spans="1:8" x14ac:dyDescent="0.25">
      <c r="A63" s="3" t="s">
        <v>76</v>
      </c>
      <c r="B63" s="3">
        <v>62</v>
      </c>
      <c r="C63" s="3" t="s">
        <v>6</v>
      </c>
      <c r="D63" s="3">
        <v>5</v>
      </c>
      <c r="E63" s="14">
        <v>20792</v>
      </c>
      <c r="F63" s="17">
        <v>8000</v>
      </c>
      <c r="G63" s="3" t="s">
        <v>34</v>
      </c>
      <c r="H63" s="3">
        <v>0.23207749401661448</v>
      </c>
    </row>
    <row r="64" spans="1:8" x14ac:dyDescent="0.25">
      <c r="A64" s="3" t="s">
        <v>77</v>
      </c>
      <c r="B64" s="3">
        <v>63</v>
      </c>
      <c r="C64" s="3" t="s">
        <v>6</v>
      </c>
      <c r="D64" s="3">
        <v>2</v>
      </c>
      <c r="E64" s="14">
        <v>8360</v>
      </c>
      <c r="F64" s="17">
        <v>5500</v>
      </c>
      <c r="G64" s="3" t="s">
        <v>14</v>
      </c>
      <c r="H64" s="3">
        <v>7.9877261274874045E-2</v>
      </c>
    </row>
    <row r="65" spans="1:8" x14ac:dyDescent="0.25">
      <c r="A65" s="3" t="s">
        <v>78</v>
      </c>
      <c r="B65" s="3">
        <v>64</v>
      </c>
      <c r="C65" s="3" t="s">
        <v>24</v>
      </c>
      <c r="D65" s="3">
        <v>3</v>
      </c>
      <c r="E65" s="14">
        <v>18975</v>
      </c>
      <c r="F65" s="17">
        <v>14500</v>
      </c>
      <c r="G65" s="3" t="s">
        <v>45</v>
      </c>
      <c r="H65" s="3">
        <v>0.55385681518650498</v>
      </c>
    </row>
    <row r="66" spans="1:8" x14ac:dyDescent="0.25">
      <c r="A66" s="3" t="s">
        <v>79</v>
      </c>
      <c r="B66" s="3">
        <v>65</v>
      </c>
      <c r="C66" s="3" t="s">
        <v>24</v>
      </c>
      <c r="D66" s="3">
        <v>4</v>
      </c>
      <c r="E66" s="14">
        <v>9523</v>
      </c>
      <c r="F66" s="17">
        <v>3870</v>
      </c>
      <c r="G66" s="3" t="s">
        <v>14</v>
      </c>
      <c r="H66" s="3">
        <v>7.2345701715220145E-2</v>
      </c>
    </row>
    <row r="67" spans="1:8" x14ac:dyDescent="0.25">
      <c r="A67" s="3" t="s">
        <v>80</v>
      </c>
      <c r="B67" s="3">
        <v>66</v>
      </c>
      <c r="C67" s="3" t="s">
        <v>3</v>
      </c>
      <c r="D67" s="3">
        <v>6</v>
      </c>
      <c r="E67" s="14">
        <v>31750</v>
      </c>
      <c r="F67" s="17">
        <v>30000</v>
      </c>
      <c r="G67" s="3" t="s">
        <v>4</v>
      </c>
      <c r="H67" s="3">
        <v>0.56011703404391378</v>
      </c>
    </row>
    <row r="68" spans="1:8" x14ac:dyDescent="0.25">
      <c r="A68" s="3" t="s">
        <v>81</v>
      </c>
      <c r="B68" s="3">
        <v>67</v>
      </c>
      <c r="C68" s="3" t="s">
        <v>3</v>
      </c>
      <c r="D68" s="3">
        <v>7</v>
      </c>
      <c r="E68" s="14">
        <v>8417</v>
      </c>
      <c r="F68" s="17">
        <v>12000</v>
      </c>
      <c r="G68" s="3" t="s">
        <v>14</v>
      </c>
      <c r="H68" s="3">
        <v>0.14323304184605345</v>
      </c>
    </row>
    <row r="69" spans="1:8" x14ac:dyDescent="0.25">
      <c r="A69" s="3" t="s">
        <v>82</v>
      </c>
      <c r="B69" s="3">
        <v>68</v>
      </c>
      <c r="C69" s="3" t="s">
        <v>24</v>
      </c>
      <c r="D69" s="3">
        <v>3</v>
      </c>
      <c r="E69" s="14">
        <v>8680</v>
      </c>
      <c r="F69" s="17">
        <v>4060</v>
      </c>
      <c r="G69" s="3" t="s">
        <v>14</v>
      </c>
      <c r="H69" s="3">
        <v>0.56488942126962216</v>
      </c>
    </row>
    <row r="70" spans="1:8" x14ac:dyDescent="0.25">
      <c r="A70" s="3" t="s">
        <v>83</v>
      </c>
      <c r="B70" s="3">
        <v>69</v>
      </c>
      <c r="C70" s="3" t="s">
        <v>13</v>
      </c>
      <c r="D70" s="3">
        <v>4</v>
      </c>
      <c r="E70" s="14">
        <v>6167</v>
      </c>
      <c r="F70" s="17">
        <v>3000</v>
      </c>
      <c r="G70" s="3" t="s">
        <v>14</v>
      </c>
      <c r="H70" s="3">
        <v>0.49683805823493743</v>
      </c>
    </row>
    <row r="71" spans="1:8" x14ac:dyDescent="0.25">
      <c r="A71" s="3" t="s">
        <v>84</v>
      </c>
      <c r="B71" s="3">
        <v>70</v>
      </c>
      <c r="C71" s="3" t="s">
        <v>6</v>
      </c>
      <c r="D71" s="3">
        <v>6</v>
      </c>
      <c r="E71" s="14">
        <v>10345</v>
      </c>
      <c r="F71" s="17">
        <v>12500</v>
      </c>
      <c r="G71" s="3" t="s">
        <v>4</v>
      </c>
      <c r="H71" s="3">
        <v>0.82144862935299745</v>
      </c>
    </row>
    <row r="72" spans="1:8" x14ac:dyDescent="0.25">
      <c r="A72" s="3" t="s">
        <v>85</v>
      </c>
      <c r="B72" s="3">
        <v>71</v>
      </c>
      <c r="C72" s="3" t="s">
        <v>3</v>
      </c>
      <c r="D72" s="3">
        <v>5</v>
      </c>
      <c r="E72" s="14">
        <v>9250</v>
      </c>
      <c r="F72" s="17">
        <v>16000</v>
      </c>
      <c r="G72" s="3" t="s">
        <v>7</v>
      </c>
      <c r="H72" s="3">
        <v>0.80657872498334815</v>
      </c>
    </row>
    <row r="73" spans="1:8" x14ac:dyDescent="0.25">
      <c r="A73" s="3" t="s">
        <v>86</v>
      </c>
      <c r="B73" s="3">
        <v>72</v>
      </c>
      <c r="C73" s="3" t="s">
        <v>3</v>
      </c>
      <c r="D73" s="3">
        <v>2</v>
      </c>
      <c r="E73" s="14">
        <v>17237</v>
      </c>
      <c r="F73" s="17">
        <v>7540</v>
      </c>
      <c r="G73" s="3" t="s">
        <v>45</v>
      </c>
      <c r="H73" s="3">
        <v>3.9764197402702428E-2</v>
      </c>
    </row>
    <row r="74" spans="1:8" x14ac:dyDescent="0.25">
      <c r="A74" s="3" t="s">
        <v>87</v>
      </c>
      <c r="B74" s="3">
        <v>73</v>
      </c>
      <c r="C74" s="3" t="s">
        <v>13</v>
      </c>
      <c r="D74" s="3">
        <v>6</v>
      </c>
      <c r="E74" s="14">
        <v>17148</v>
      </c>
      <c r="F74" s="17">
        <v>20600</v>
      </c>
      <c r="G74" s="3" t="s">
        <v>14</v>
      </c>
      <c r="H74" s="3">
        <v>0.64720793382967812</v>
      </c>
    </row>
    <row r="75" spans="1:8" x14ac:dyDescent="0.25">
      <c r="A75" s="3" t="s">
        <v>88</v>
      </c>
      <c r="B75" s="3">
        <v>74</v>
      </c>
      <c r="C75" s="3" t="s">
        <v>6</v>
      </c>
      <c r="D75" s="3">
        <v>1</v>
      </c>
      <c r="E75" s="14">
        <v>4850</v>
      </c>
      <c r="F75" s="17">
        <v>9200</v>
      </c>
      <c r="G75" s="3" t="s">
        <v>34</v>
      </c>
      <c r="H75" s="3">
        <v>0.38716712306919832</v>
      </c>
    </row>
    <row r="76" spans="1:8" x14ac:dyDescent="0.25">
      <c r="A76" s="3" t="s">
        <v>89</v>
      </c>
      <c r="B76" s="3">
        <v>75</v>
      </c>
      <c r="C76" s="3" t="s">
        <v>13</v>
      </c>
      <c r="D76" s="3">
        <v>4</v>
      </c>
      <c r="E76" s="14">
        <v>10158</v>
      </c>
      <c r="F76" s="17">
        <v>9700</v>
      </c>
      <c r="G76" s="3" t="s">
        <v>4</v>
      </c>
      <c r="H76" s="3">
        <v>9.8277536287008083E-3</v>
      </c>
    </row>
    <row r="77" spans="1:8" x14ac:dyDescent="0.25">
      <c r="A77" s="3" t="s">
        <v>90</v>
      </c>
      <c r="B77" s="3">
        <v>76</v>
      </c>
      <c r="C77" s="3" t="s">
        <v>13</v>
      </c>
      <c r="D77" s="3">
        <v>5</v>
      </c>
      <c r="E77" s="14">
        <v>13875</v>
      </c>
      <c r="F77" s="17">
        <v>9000</v>
      </c>
      <c r="G77" s="3" t="s">
        <v>34</v>
      </c>
      <c r="H77" s="3">
        <v>0.70675999761336372</v>
      </c>
    </row>
    <row r="78" spans="1:8" x14ac:dyDescent="0.25">
      <c r="A78" s="3" t="s">
        <v>91</v>
      </c>
      <c r="B78" s="3">
        <v>77</v>
      </c>
      <c r="C78" s="3" t="s">
        <v>6</v>
      </c>
      <c r="D78" s="3">
        <v>4</v>
      </c>
      <c r="E78" s="14">
        <v>7055</v>
      </c>
      <c r="F78" s="17">
        <v>7589</v>
      </c>
      <c r="G78" s="3" t="s">
        <v>34</v>
      </c>
      <c r="H78" s="3">
        <v>0.68535189119641571</v>
      </c>
    </row>
    <row r="79" spans="1:8" x14ac:dyDescent="0.25">
      <c r="A79" s="3" t="s">
        <v>92</v>
      </c>
      <c r="B79" s="3">
        <v>78</v>
      </c>
      <c r="C79" s="3" t="s">
        <v>13</v>
      </c>
      <c r="D79" s="3">
        <v>5</v>
      </c>
      <c r="E79" s="14">
        <v>16417</v>
      </c>
      <c r="F79" s="17">
        <v>25000</v>
      </c>
      <c r="G79" s="3" t="s">
        <v>4</v>
      </c>
      <c r="H79" s="3">
        <v>0.30702425213138007</v>
      </c>
    </row>
    <row r="80" spans="1:8" x14ac:dyDescent="0.25">
      <c r="A80" s="3" t="s">
        <v>93</v>
      </c>
      <c r="B80" s="3">
        <v>79</v>
      </c>
      <c r="C80" s="3" t="s">
        <v>13</v>
      </c>
      <c r="D80" s="3">
        <v>8</v>
      </c>
      <c r="E80" s="14">
        <v>17005</v>
      </c>
      <c r="F80" s="17">
        <v>15845</v>
      </c>
      <c r="G80" s="3" t="s">
        <v>14</v>
      </c>
      <c r="H80" s="3">
        <v>0.97742727664568718</v>
      </c>
    </row>
    <row r="81" spans="1:8" x14ac:dyDescent="0.25">
      <c r="A81" s="3" t="s">
        <v>94</v>
      </c>
      <c r="B81" s="3">
        <v>80</v>
      </c>
      <c r="C81" s="3" t="s">
        <v>13</v>
      </c>
      <c r="D81" s="3">
        <v>5</v>
      </c>
      <c r="E81" s="14">
        <v>9283</v>
      </c>
      <c r="F81" s="17">
        <v>6500</v>
      </c>
      <c r="G81" s="3" t="s">
        <v>7</v>
      </c>
      <c r="H81" s="3">
        <v>0.50000051477949736</v>
      </c>
    </row>
    <row r="82" spans="1:8" x14ac:dyDescent="0.25">
      <c r="A82" s="3" t="s">
        <v>95</v>
      </c>
      <c r="B82" s="3">
        <v>81</v>
      </c>
      <c r="C82" s="3" t="s">
        <v>6</v>
      </c>
      <c r="D82" s="3">
        <v>8</v>
      </c>
      <c r="E82" s="14">
        <v>11250</v>
      </c>
      <c r="F82" s="17">
        <v>18500</v>
      </c>
      <c r="G82" s="3" t="s">
        <v>14</v>
      </c>
      <c r="H82" s="3">
        <v>0.38239892400769049</v>
      </c>
    </row>
    <row r="83" spans="1:8" x14ac:dyDescent="0.25">
      <c r="A83" s="3" t="s">
        <v>96</v>
      </c>
      <c r="B83" s="3">
        <v>82</v>
      </c>
      <c r="C83" s="3" t="s">
        <v>6</v>
      </c>
      <c r="D83" s="3">
        <v>2</v>
      </c>
      <c r="E83" s="14">
        <v>10082</v>
      </c>
      <c r="F83" s="17">
        <v>7900</v>
      </c>
      <c r="G83" s="3" t="s">
        <v>10</v>
      </c>
      <c r="H83" s="3">
        <v>0.44903307610551402</v>
      </c>
    </row>
    <row r="84" spans="1:8" x14ac:dyDescent="0.25">
      <c r="A84" s="3" t="s">
        <v>97</v>
      </c>
      <c r="B84" s="3">
        <v>83</v>
      </c>
      <c r="C84" s="3" t="s">
        <v>24</v>
      </c>
      <c r="D84" s="3">
        <v>2</v>
      </c>
      <c r="E84" s="14">
        <v>6250</v>
      </c>
      <c r="F84" s="17">
        <v>7000</v>
      </c>
      <c r="G84" s="3" t="s">
        <v>7</v>
      </c>
      <c r="H84" s="3">
        <v>0.7892557041085797</v>
      </c>
    </row>
    <row r="85" spans="1:8" x14ac:dyDescent="0.25">
      <c r="A85" s="3" t="s">
        <v>98</v>
      </c>
      <c r="B85" s="3">
        <v>84</v>
      </c>
      <c r="C85" s="3" t="s">
        <v>3</v>
      </c>
      <c r="D85" s="3">
        <v>7</v>
      </c>
      <c r="E85" s="14">
        <v>18500</v>
      </c>
      <c r="F85" s="17">
        <v>12000</v>
      </c>
      <c r="G85" s="3" t="s">
        <v>10</v>
      </c>
      <c r="H85" s="3">
        <v>0.59995580874874277</v>
      </c>
    </row>
    <row r="86" spans="1:8" x14ac:dyDescent="0.25">
      <c r="A86" s="3" t="s">
        <v>99</v>
      </c>
      <c r="B86" s="3">
        <v>85</v>
      </c>
      <c r="C86" s="3" t="s">
        <v>6</v>
      </c>
      <c r="D86" s="3">
        <v>1</v>
      </c>
      <c r="E86" s="14">
        <v>6358</v>
      </c>
      <c r="F86" s="17">
        <v>9000</v>
      </c>
      <c r="G86" s="3" t="s">
        <v>4</v>
      </c>
      <c r="H86" s="3">
        <v>0.17688781935623554</v>
      </c>
    </row>
    <row r="87" spans="1:8" x14ac:dyDescent="0.25">
      <c r="A87" s="3" t="s">
        <v>100</v>
      </c>
      <c r="B87" s="3">
        <v>86</v>
      </c>
      <c r="C87" s="3" t="s">
        <v>6</v>
      </c>
      <c r="D87" s="3">
        <v>1</v>
      </c>
      <c r="E87" s="14">
        <v>1457</v>
      </c>
      <c r="F87" s="17">
        <v>680</v>
      </c>
      <c r="G87" s="3" t="s">
        <v>7</v>
      </c>
      <c r="H87" s="3">
        <v>0.50784557148149811</v>
      </c>
    </row>
    <row r="88" spans="1:8" x14ac:dyDescent="0.25">
      <c r="A88" s="3" t="s">
        <v>101</v>
      </c>
      <c r="B88" s="3">
        <v>87</v>
      </c>
      <c r="C88" s="3" t="s">
        <v>13</v>
      </c>
      <c r="D88" s="3">
        <v>4</v>
      </c>
      <c r="E88" s="14">
        <v>17055</v>
      </c>
      <c r="F88" s="17">
        <v>20000</v>
      </c>
      <c r="G88" s="3" t="s">
        <v>4</v>
      </c>
      <c r="H88" s="3">
        <v>0.43845857104227415</v>
      </c>
    </row>
    <row r="89" spans="1:8" x14ac:dyDescent="0.25">
      <c r="A89" s="3" t="s">
        <v>102</v>
      </c>
      <c r="B89" s="3">
        <v>88</v>
      </c>
      <c r="C89" s="3" t="s">
        <v>6</v>
      </c>
      <c r="D89" s="3">
        <v>1</v>
      </c>
      <c r="E89" s="14">
        <v>7125</v>
      </c>
      <c r="F89" s="17">
        <v>1500</v>
      </c>
      <c r="G89" s="3" t="s">
        <v>42</v>
      </c>
      <c r="H89" s="3">
        <v>0.61789008689257796</v>
      </c>
    </row>
    <row r="90" spans="1:8" x14ac:dyDescent="0.25">
      <c r="A90" s="3" t="s">
        <v>103</v>
      </c>
      <c r="B90" s="3">
        <v>89</v>
      </c>
      <c r="C90" s="3" t="s">
        <v>3</v>
      </c>
      <c r="D90" s="3">
        <v>5</v>
      </c>
      <c r="E90" s="14">
        <v>11333</v>
      </c>
      <c r="F90" s="17">
        <v>9500</v>
      </c>
      <c r="G90" s="3" t="s">
        <v>14</v>
      </c>
      <c r="H90" s="3">
        <v>7.2033082628006229E-2</v>
      </c>
    </row>
    <row r="91" spans="1:8" x14ac:dyDescent="0.25">
      <c r="A91" s="3" t="s">
        <v>104</v>
      </c>
      <c r="B91" s="3">
        <v>90</v>
      </c>
      <c r="C91" s="3" t="s">
        <v>6</v>
      </c>
      <c r="D91" s="3">
        <v>4</v>
      </c>
      <c r="E91" s="14">
        <v>7613</v>
      </c>
      <c r="F91" s="17">
        <v>3750</v>
      </c>
      <c r="G91" s="3" t="s">
        <v>10</v>
      </c>
      <c r="H91" s="3">
        <v>0.15832286999953238</v>
      </c>
    </row>
    <row r="92" spans="1:8" x14ac:dyDescent="0.25">
      <c r="A92" s="3" t="s">
        <v>105</v>
      </c>
      <c r="B92" s="3">
        <v>91</v>
      </c>
      <c r="C92" s="3" t="s">
        <v>3</v>
      </c>
      <c r="D92" s="3">
        <v>2</v>
      </c>
      <c r="E92" s="14">
        <v>6792</v>
      </c>
      <c r="F92" s="17">
        <v>5000</v>
      </c>
      <c r="G92" s="3" t="s">
        <v>14</v>
      </c>
      <c r="H92" s="3">
        <v>0.31617443033724568</v>
      </c>
    </row>
    <row r="93" spans="1:8" x14ac:dyDescent="0.25">
      <c r="A93" s="3" t="s">
        <v>106</v>
      </c>
      <c r="B93" s="3">
        <v>92</v>
      </c>
      <c r="C93" s="3" t="s">
        <v>6</v>
      </c>
      <c r="D93" s="3">
        <v>8</v>
      </c>
      <c r="E93" s="14">
        <v>13317</v>
      </c>
      <c r="F93" s="17">
        <v>14000</v>
      </c>
      <c r="G93" s="3" t="s">
        <v>4</v>
      </c>
      <c r="H93" s="3">
        <v>0.32168750261439771</v>
      </c>
    </row>
    <row r="94" spans="1:8" x14ac:dyDescent="0.25">
      <c r="A94" s="3" t="s">
        <v>107</v>
      </c>
      <c r="B94" s="3">
        <v>93</v>
      </c>
      <c r="C94" s="3" t="s">
        <v>3</v>
      </c>
      <c r="D94" s="3">
        <v>4</v>
      </c>
      <c r="E94" s="14">
        <v>12017</v>
      </c>
      <c r="F94" s="17">
        <v>3500</v>
      </c>
      <c r="G94" s="3" t="s">
        <v>4</v>
      </c>
      <c r="H94" s="3">
        <v>0.97899352358165781</v>
      </c>
    </row>
    <row r="95" spans="1:8" x14ac:dyDescent="0.25">
      <c r="A95" s="3" t="s">
        <v>108</v>
      </c>
      <c r="B95" s="3">
        <v>94</v>
      </c>
      <c r="C95" s="3" t="s">
        <v>13</v>
      </c>
      <c r="D95" s="3">
        <v>4</v>
      </c>
      <c r="E95" s="14">
        <v>10217</v>
      </c>
      <c r="F95" s="17">
        <v>13500</v>
      </c>
      <c r="G95" s="3" t="s">
        <v>45</v>
      </c>
      <c r="H95" s="3">
        <v>0.91943203500500181</v>
      </c>
    </row>
    <row r="96" spans="1:8" x14ac:dyDescent="0.25">
      <c r="A96" s="3" t="s">
        <v>109</v>
      </c>
      <c r="B96" s="3">
        <v>95</v>
      </c>
      <c r="C96" s="3" t="s">
        <v>24</v>
      </c>
      <c r="D96" s="3">
        <v>5</v>
      </c>
      <c r="E96" s="14">
        <v>14521</v>
      </c>
      <c r="F96" s="17">
        <v>20300</v>
      </c>
      <c r="G96" s="3" t="s">
        <v>45</v>
      </c>
      <c r="H96" s="3">
        <v>0.53162226636830623</v>
      </c>
    </row>
    <row r="97" spans="1:8" x14ac:dyDescent="0.25">
      <c r="A97" s="3" t="s">
        <v>110</v>
      </c>
      <c r="B97" s="3">
        <v>96</v>
      </c>
      <c r="C97" s="3" t="s">
        <v>3</v>
      </c>
      <c r="D97" s="3">
        <v>4</v>
      </c>
      <c r="E97" s="14">
        <v>7817</v>
      </c>
      <c r="F97" s="17">
        <v>5600</v>
      </c>
      <c r="G97" s="3" t="s">
        <v>45</v>
      </c>
      <c r="H97" s="3">
        <v>0.87445663063585255</v>
      </c>
    </row>
    <row r="98" spans="1:8" x14ac:dyDescent="0.25">
      <c r="A98" s="3" t="s">
        <v>111</v>
      </c>
      <c r="B98" s="3">
        <v>97</v>
      </c>
      <c r="C98" s="3" t="s">
        <v>6</v>
      </c>
      <c r="D98" s="3">
        <v>1</v>
      </c>
      <c r="E98" s="14">
        <v>33750</v>
      </c>
      <c r="F98" s="17">
        <v>19800</v>
      </c>
      <c r="G98" s="3" t="s">
        <v>4</v>
      </c>
      <c r="H98" s="3">
        <v>0.52998710386131442</v>
      </c>
    </row>
    <row r="99" spans="1:8" x14ac:dyDescent="0.25">
      <c r="A99" s="3" t="s">
        <v>112</v>
      </c>
      <c r="B99" s="3">
        <v>98</v>
      </c>
      <c r="C99" s="3" t="s">
        <v>3</v>
      </c>
      <c r="D99" s="3">
        <v>3</v>
      </c>
      <c r="E99" s="14">
        <v>7175</v>
      </c>
      <c r="F99" s="17">
        <v>4500</v>
      </c>
      <c r="G99" s="3" t="s">
        <v>10</v>
      </c>
      <c r="H99" s="3">
        <v>8.3782022458752881E-2</v>
      </c>
    </row>
    <row r="100" spans="1:8" x14ac:dyDescent="0.25">
      <c r="A100" s="3" t="s">
        <v>113</v>
      </c>
      <c r="B100" s="3">
        <v>99</v>
      </c>
      <c r="C100" s="3" t="s">
        <v>13</v>
      </c>
      <c r="D100" s="3">
        <v>6</v>
      </c>
      <c r="E100" s="14">
        <v>6592</v>
      </c>
      <c r="F100" s="17">
        <v>6000</v>
      </c>
      <c r="G100" s="3" t="s">
        <v>7</v>
      </c>
      <c r="H100" s="3">
        <v>0.52143473791136286</v>
      </c>
    </row>
    <row r="101" spans="1:8" x14ac:dyDescent="0.25">
      <c r="A101" s="3" t="s">
        <v>114</v>
      </c>
      <c r="B101" s="3">
        <v>100</v>
      </c>
      <c r="C101" s="3" t="s">
        <v>3</v>
      </c>
      <c r="D101" s="3">
        <v>4</v>
      </c>
      <c r="E101" s="14">
        <v>12992</v>
      </c>
      <c r="F101" s="17">
        <v>10500</v>
      </c>
      <c r="G101" s="3" t="s">
        <v>4</v>
      </c>
      <c r="H101" s="3">
        <v>0.55958432630085797</v>
      </c>
    </row>
    <row r="102" spans="1:8" x14ac:dyDescent="0.25">
      <c r="A102" s="3" t="s">
        <v>115</v>
      </c>
      <c r="B102" s="3">
        <v>101</v>
      </c>
      <c r="C102" s="3" t="s">
        <v>13</v>
      </c>
      <c r="D102" s="3">
        <v>6</v>
      </c>
      <c r="E102" s="14">
        <v>31223</v>
      </c>
      <c r="F102" s="17">
        <v>27000</v>
      </c>
      <c r="G102" s="3" t="s">
        <v>14</v>
      </c>
      <c r="H102" s="3">
        <v>0.12396152263436822</v>
      </c>
    </row>
    <row r="103" spans="1:8" x14ac:dyDescent="0.25">
      <c r="A103" s="3" t="s">
        <v>116</v>
      </c>
      <c r="B103" s="3">
        <v>102</v>
      </c>
      <c r="C103" s="3" t="s">
        <v>6</v>
      </c>
      <c r="D103" s="3">
        <v>5</v>
      </c>
      <c r="E103" s="14">
        <v>16150</v>
      </c>
      <c r="F103" s="17">
        <v>7000</v>
      </c>
      <c r="G103" s="3" t="s">
        <v>4</v>
      </c>
      <c r="H103" s="3">
        <v>0.18087956092063984</v>
      </c>
    </row>
    <row r="104" spans="1:8" x14ac:dyDescent="0.25">
      <c r="A104" s="3" t="s">
        <v>117</v>
      </c>
      <c r="B104" s="3">
        <v>103</v>
      </c>
      <c r="C104" s="3" t="s">
        <v>13</v>
      </c>
      <c r="D104" s="3">
        <v>4</v>
      </c>
      <c r="E104" s="14">
        <v>9133</v>
      </c>
      <c r="F104" s="17">
        <v>3500</v>
      </c>
      <c r="G104" s="3" t="s">
        <v>14</v>
      </c>
      <c r="H104" s="3">
        <v>0.73685545148660703</v>
      </c>
    </row>
    <row r="105" spans="1:8" x14ac:dyDescent="0.25">
      <c r="A105" s="3" t="s">
        <v>118</v>
      </c>
      <c r="B105" s="3">
        <v>104</v>
      </c>
      <c r="C105" s="3" t="s">
        <v>13</v>
      </c>
      <c r="D105" s="3">
        <v>5</v>
      </c>
      <c r="E105" s="14">
        <v>12062</v>
      </c>
      <c r="F105" s="17">
        <v>6700</v>
      </c>
      <c r="G105" s="3" t="s">
        <v>4</v>
      </c>
      <c r="H105" s="3">
        <v>0.3095690621824877</v>
      </c>
    </row>
    <row r="106" spans="1:8" x14ac:dyDescent="0.25">
      <c r="A106" s="3" t="s">
        <v>119</v>
      </c>
      <c r="B106" s="3">
        <v>105</v>
      </c>
      <c r="C106" s="3" t="s">
        <v>6</v>
      </c>
      <c r="D106" s="3">
        <v>8</v>
      </c>
      <c r="E106" s="14">
        <v>11969</v>
      </c>
      <c r="F106" s="17">
        <v>12650</v>
      </c>
      <c r="G106" s="3" t="s">
        <v>14</v>
      </c>
      <c r="H106" s="3">
        <v>0.15233316123680518</v>
      </c>
    </row>
    <row r="107" spans="1:8" x14ac:dyDescent="0.25">
      <c r="A107" s="3" t="s">
        <v>120</v>
      </c>
      <c r="B107" s="3">
        <v>106</v>
      </c>
      <c r="C107" s="3" t="s">
        <v>6</v>
      </c>
      <c r="D107" s="3">
        <v>4</v>
      </c>
      <c r="E107" s="14">
        <v>18392</v>
      </c>
      <c r="F107" s="17">
        <v>6500</v>
      </c>
      <c r="G107" s="3" t="s">
        <v>10</v>
      </c>
      <c r="H107" s="3">
        <v>0.99715233397526937</v>
      </c>
    </row>
    <row r="108" spans="1:8" x14ac:dyDescent="0.25">
      <c r="A108" s="3" t="s">
        <v>121</v>
      </c>
      <c r="B108" s="3">
        <v>107</v>
      </c>
      <c r="C108" s="3" t="s">
        <v>6</v>
      </c>
      <c r="D108" s="3">
        <v>8</v>
      </c>
      <c r="E108" s="14">
        <v>19775</v>
      </c>
      <c r="F108" s="17">
        <v>7680</v>
      </c>
      <c r="G108" s="3" t="s">
        <v>7</v>
      </c>
      <c r="H108" s="3">
        <v>0.20558404129359342</v>
      </c>
    </row>
    <row r="109" spans="1:8" x14ac:dyDescent="0.25">
      <c r="A109" s="3" t="s">
        <v>122</v>
      </c>
      <c r="B109" s="3">
        <v>108</v>
      </c>
      <c r="C109" s="3" t="s">
        <v>24</v>
      </c>
      <c r="D109" s="3">
        <v>4</v>
      </c>
      <c r="E109" s="14">
        <v>11679</v>
      </c>
      <c r="F109" s="17">
        <v>6750</v>
      </c>
      <c r="G109" s="3" t="s">
        <v>14</v>
      </c>
      <c r="H109" s="3">
        <v>0.79576183108590037</v>
      </c>
    </row>
    <row r="110" spans="1:8" x14ac:dyDescent="0.25">
      <c r="A110" s="3" t="s">
        <v>123</v>
      </c>
      <c r="B110" s="3">
        <v>109</v>
      </c>
      <c r="C110" s="3" t="s">
        <v>6</v>
      </c>
      <c r="D110" s="3">
        <v>2</v>
      </c>
      <c r="E110" s="14">
        <v>6450</v>
      </c>
      <c r="F110" s="17">
        <v>4000</v>
      </c>
      <c r="G110" s="3" t="s">
        <v>10</v>
      </c>
      <c r="H110" s="3">
        <v>0.90052724101944892</v>
      </c>
    </row>
    <row r="111" spans="1:8" x14ac:dyDescent="0.25">
      <c r="A111" s="3" t="s">
        <v>124</v>
      </c>
      <c r="B111" s="3">
        <v>110</v>
      </c>
      <c r="C111" s="3" t="s">
        <v>24</v>
      </c>
      <c r="D111" s="3">
        <v>8</v>
      </c>
      <c r="E111" s="14">
        <v>12767</v>
      </c>
      <c r="F111" s="17">
        <v>12000</v>
      </c>
      <c r="G111" s="3" t="s">
        <v>7</v>
      </c>
      <c r="H111" s="3">
        <v>0.22048177213426368</v>
      </c>
    </row>
    <row r="112" spans="1:8" x14ac:dyDescent="0.25">
      <c r="A112" s="3" t="s">
        <v>125</v>
      </c>
      <c r="B112" s="3">
        <v>111</v>
      </c>
      <c r="C112" s="3" t="s">
        <v>24</v>
      </c>
      <c r="D112" s="3">
        <v>3</v>
      </c>
      <c r="E112" s="14">
        <v>5029</v>
      </c>
      <c r="F112" s="17">
        <v>4500</v>
      </c>
      <c r="G112" s="3" t="s">
        <v>42</v>
      </c>
      <c r="H112" s="3">
        <v>0.87803345996311832</v>
      </c>
    </row>
    <row r="113" spans="1:8" x14ac:dyDescent="0.25">
      <c r="A113" s="3" t="s">
        <v>126</v>
      </c>
      <c r="B113" s="3">
        <v>112</v>
      </c>
      <c r="C113" s="3" t="s">
        <v>6</v>
      </c>
      <c r="D113" s="3">
        <v>8</v>
      </c>
      <c r="E113" s="14">
        <v>14417</v>
      </c>
      <c r="F113" s="17">
        <v>10000</v>
      </c>
      <c r="G113" s="3" t="s">
        <v>14</v>
      </c>
      <c r="H113" s="3">
        <v>0.88275990938847115</v>
      </c>
    </row>
    <row r="114" spans="1:8" x14ac:dyDescent="0.25">
      <c r="A114" s="3" t="s">
        <v>127</v>
      </c>
      <c r="B114" s="3">
        <v>113</v>
      </c>
      <c r="C114" s="3" t="s">
        <v>3</v>
      </c>
      <c r="D114" s="3">
        <v>5</v>
      </c>
      <c r="E114" s="14">
        <v>6100</v>
      </c>
      <c r="F114" s="17">
        <v>5000</v>
      </c>
      <c r="G114" s="3" t="s">
        <v>14</v>
      </c>
      <c r="H114" s="3">
        <v>0.24767375391453239</v>
      </c>
    </row>
    <row r="115" spans="1:8" x14ac:dyDescent="0.25">
      <c r="A115" s="3" t="s">
        <v>128</v>
      </c>
      <c r="B115" s="3">
        <v>114</v>
      </c>
      <c r="C115" s="3" t="s">
        <v>3</v>
      </c>
      <c r="D115" s="3">
        <v>3</v>
      </c>
      <c r="E115" s="14">
        <v>18942</v>
      </c>
      <c r="F115" s="17">
        <v>28000</v>
      </c>
      <c r="G115" s="3" t="s">
        <v>4</v>
      </c>
      <c r="H115" s="3">
        <v>0.24190031279123048</v>
      </c>
    </row>
    <row r="116" spans="1:8" x14ac:dyDescent="0.25">
      <c r="A116" s="3" t="s">
        <v>129</v>
      </c>
      <c r="B116" s="3">
        <v>115</v>
      </c>
      <c r="C116" s="3" t="s">
        <v>24</v>
      </c>
      <c r="D116" s="3">
        <v>5</v>
      </c>
      <c r="E116" s="14">
        <v>9475</v>
      </c>
      <c r="F116" s="17">
        <v>5000</v>
      </c>
      <c r="G116" s="3" t="s">
        <v>7</v>
      </c>
      <c r="H116" s="3">
        <v>0.4081892971475416</v>
      </c>
    </row>
    <row r="117" spans="1:8" x14ac:dyDescent="0.25">
      <c r="A117" s="3" t="s">
        <v>130</v>
      </c>
      <c r="B117" s="3">
        <v>116</v>
      </c>
      <c r="C117" s="3" t="s">
        <v>3</v>
      </c>
      <c r="D117" s="3">
        <v>3</v>
      </c>
      <c r="E117" s="14">
        <v>8760</v>
      </c>
      <c r="F117" s="17">
        <v>9000</v>
      </c>
      <c r="G117" s="3" t="s">
        <v>14</v>
      </c>
      <c r="H117" s="3">
        <v>0.63880497859546304</v>
      </c>
    </row>
    <row r="118" spans="1:8" x14ac:dyDescent="0.25">
      <c r="A118" s="3" t="s">
        <v>131</v>
      </c>
      <c r="B118" s="3">
        <v>117</v>
      </c>
      <c r="C118" s="3" t="s">
        <v>24</v>
      </c>
      <c r="D118" s="3">
        <v>4</v>
      </c>
      <c r="E118" s="14">
        <v>12415</v>
      </c>
      <c r="F118" s="17">
        <v>22000</v>
      </c>
      <c r="G118" s="3" t="s">
        <v>7</v>
      </c>
      <c r="H118" s="3">
        <v>0.30015070133268562</v>
      </c>
    </row>
    <row r="119" spans="1:8" x14ac:dyDescent="0.25">
      <c r="A119" s="3" t="s">
        <v>132</v>
      </c>
      <c r="B119" s="3">
        <v>118</v>
      </c>
      <c r="C119" s="3" t="s">
        <v>3</v>
      </c>
      <c r="D119" s="3">
        <v>5</v>
      </c>
      <c r="E119" s="14">
        <v>16667</v>
      </c>
      <c r="F119" s="17">
        <v>8500</v>
      </c>
      <c r="G119" s="3" t="s">
        <v>7</v>
      </c>
      <c r="H119" s="3">
        <v>0.91488574262650058</v>
      </c>
    </row>
    <row r="120" spans="1:8" x14ac:dyDescent="0.25">
      <c r="A120" s="3" t="s">
        <v>133</v>
      </c>
      <c r="B120" s="3">
        <v>119</v>
      </c>
      <c r="C120" s="3" t="s">
        <v>13</v>
      </c>
      <c r="D120" s="3">
        <v>4</v>
      </c>
      <c r="E120" s="14">
        <v>8223</v>
      </c>
      <c r="F120" s="17">
        <v>9800</v>
      </c>
      <c r="G120" s="3" t="s">
        <v>10</v>
      </c>
      <c r="H120" s="3">
        <v>0.67399010903532874</v>
      </c>
    </row>
    <row r="121" spans="1:8" x14ac:dyDescent="0.25">
      <c r="A121" s="3" t="s">
        <v>134</v>
      </c>
      <c r="B121" s="3">
        <v>120</v>
      </c>
      <c r="C121" s="3" t="s">
        <v>6</v>
      </c>
      <c r="D121" s="3">
        <v>5</v>
      </c>
      <c r="E121" s="14">
        <v>10592</v>
      </c>
      <c r="F121" s="17">
        <v>8500</v>
      </c>
      <c r="G121" s="3" t="s">
        <v>10</v>
      </c>
      <c r="H121" s="3">
        <v>0.87002055222519037</v>
      </c>
    </row>
    <row r="122" spans="1:8" x14ac:dyDescent="0.25">
      <c r="A122" s="3" t="s">
        <v>135</v>
      </c>
      <c r="B122" s="3">
        <v>121</v>
      </c>
      <c r="C122" s="3" t="s">
        <v>6</v>
      </c>
      <c r="D122" s="3">
        <v>6</v>
      </c>
      <c r="E122" s="14">
        <v>8800</v>
      </c>
      <c r="F122" s="17">
        <v>8000</v>
      </c>
      <c r="G122" s="3" t="s">
        <v>7</v>
      </c>
      <c r="H122" s="3">
        <v>9.5238599860102857E-2</v>
      </c>
    </row>
    <row r="123" spans="1:8" x14ac:dyDescent="0.25">
      <c r="A123" s="3" t="s">
        <v>136</v>
      </c>
      <c r="B123" s="3">
        <v>122</v>
      </c>
      <c r="C123" s="3" t="s">
        <v>24</v>
      </c>
      <c r="D123" s="3">
        <v>4</v>
      </c>
      <c r="E123" s="14">
        <v>7491</v>
      </c>
      <c r="F123" s="17">
        <v>8500</v>
      </c>
      <c r="G123" s="3" t="s">
        <v>10</v>
      </c>
      <c r="H123" s="3">
        <v>0.57121520182102337</v>
      </c>
    </row>
    <row r="124" spans="1:8" x14ac:dyDescent="0.25">
      <c r="A124" s="3" t="s">
        <v>137</v>
      </c>
      <c r="B124" s="3">
        <v>123</v>
      </c>
      <c r="C124" s="3" t="s">
        <v>3</v>
      </c>
      <c r="D124" s="3">
        <v>3</v>
      </c>
      <c r="E124" s="14">
        <v>12050</v>
      </c>
      <c r="F124" s="17">
        <v>4000</v>
      </c>
      <c r="G124" s="3" t="s">
        <v>42</v>
      </c>
      <c r="H124" s="3">
        <v>0.61916938568493096</v>
      </c>
    </row>
    <row r="125" spans="1:8" x14ac:dyDescent="0.25">
      <c r="A125" s="3" t="s">
        <v>138</v>
      </c>
      <c r="B125" s="3">
        <v>124</v>
      </c>
      <c r="C125" s="3" t="s">
        <v>6</v>
      </c>
      <c r="D125" s="3">
        <v>6</v>
      </c>
      <c r="E125" s="14">
        <v>9275</v>
      </c>
      <c r="F125" s="17">
        <v>4500</v>
      </c>
      <c r="G125" s="3" t="s">
        <v>7</v>
      </c>
      <c r="H125" s="3">
        <v>0.99317281280925418</v>
      </c>
    </row>
    <row r="126" spans="1:8" x14ac:dyDescent="0.25">
      <c r="A126" s="3" t="s">
        <v>139</v>
      </c>
      <c r="B126" s="3">
        <v>125</v>
      </c>
      <c r="C126" s="3" t="s">
        <v>6</v>
      </c>
      <c r="D126" s="3">
        <v>4</v>
      </c>
      <c r="E126" s="14">
        <v>32917</v>
      </c>
      <c r="F126" s="17">
        <v>10000</v>
      </c>
      <c r="G126" s="3" t="s">
        <v>4</v>
      </c>
      <c r="H126" s="3">
        <v>0.41688067477945634</v>
      </c>
    </row>
    <row r="127" spans="1:8" x14ac:dyDescent="0.25">
      <c r="A127" s="3" t="s">
        <v>140</v>
      </c>
      <c r="B127" s="3">
        <v>126</v>
      </c>
      <c r="C127" s="3" t="s">
        <v>6</v>
      </c>
      <c r="D127" s="3">
        <v>1</v>
      </c>
      <c r="E127" s="14">
        <v>9317</v>
      </c>
      <c r="F127" s="17">
        <v>12100</v>
      </c>
      <c r="G127" s="3" t="s">
        <v>7</v>
      </c>
      <c r="H127" s="3">
        <v>0.89453322975436023</v>
      </c>
    </row>
    <row r="128" spans="1:8" x14ac:dyDescent="0.25">
      <c r="A128" s="3" t="s">
        <v>141</v>
      </c>
      <c r="B128" s="3">
        <v>127</v>
      </c>
      <c r="C128" s="3" t="s">
        <v>6</v>
      </c>
      <c r="D128" s="3">
        <v>6</v>
      </c>
      <c r="E128" s="14">
        <v>7925</v>
      </c>
      <c r="F128" s="17">
        <v>6500</v>
      </c>
      <c r="G128" s="3" t="s">
        <v>14</v>
      </c>
      <c r="H128" s="3">
        <v>0.35558857580599201</v>
      </c>
    </row>
    <row r="129" spans="1:8" x14ac:dyDescent="0.25">
      <c r="A129" s="3" t="s">
        <v>142</v>
      </c>
      <c r="B129" s="3">
        <v>128</v>
      </c>
      <c r="C129" s="3" t="s">
        <v>24</v>
      </c>
      <c r="D129" s="3">
        <v>2</v>
      </c>
      <c r="E129" s="14">
        <v>13250</v>
      </c>
      <c r="F129" s="17">
        <v>8000</v>
      </c>
      <c r="G129" s="3" t="s">
        <v>4</v>
      </c>
      <c r="H129" s="3">
        <v>0.4193786540712473</v>
      </c>
    </row>
    <row r="130" spans="1:8" x14ac:dyDescent="0.25">
      <c r="A130" s="3" t="s">
        <v>143</v>
      </c>
      <c r="B130" s="3">
        <v>129</v>
      </c>
      <c r="C130" s="3" t="s">
        <v>13</v>
      </c>
      <c r="D130" s="3">
        <v>2</v>
      </c>
      <c r="E130" s="14">
        <v>18567</v>
      </c>
      <c r="F130" s="17">
        <v>14000</v>
      </c>
      <c r="G130" s="3" t="s">
        <v>4</v>
      </c>
      <c r="H130" s="3">
        <v>0.33455982661888672</v>
      </c>
    </row>
    <row r="131" spans="1:8" x14ac:dyDescent="0.25">
      <c r="A131" s="3" t="s">
        <v>144</v>
      </c>
      <c r="B131" s="3">
        <v>130</v>
      </c>
      <c r="C131" s="3" t="s">
        <v>3</v>
      </c>
      <c r="D131" s="3">
        <v>3</v>
      </c>
      <c r="E131" s="14">
        <v>9758</v>
      </c>
      <c r="F131" s="17">
        <v>4000</v>
      </c>
      <c r="G131" s="3" t="s">
        <v>7</v>
      </c>
      <c r="H131" s="3">
        <v>0.90117456830987097</v>
      </c>
    </row>
    <row r="132" spans="1:8" x14ac:dyDescent="0.25">
      <c r="A132" s="3" t="s">
        <v>145</v>
      </c>
      <c r="B132" s="3">
        <v>131</v>
      </c>
      <c r="C132" s="3" t="s">
        <v>6</v>
      </c>
      <c r="D132" s="3">
        <v>1</v>
      </c>
      <c r="E132" s="14">
        <v>9004</v>
      </c>
      <c r="F132" s="17">
        <v>4850</v>
      </c>
      <c r="G132" s="3" t="s">
        <v>4</v>
      </c>
      <c r="H132" s="3">
        <v>0.46966005182827342</v>
      </c>
    </row>
    <row r="133" spans="1:8" x14ac:dyDescent="0.25">
      <c r="A133" s="3" t="s">
        <v>146</v>
      </c>
      <c r="B133" s="3">
        <v>132</v>
      </c>
      <c r="C133" s="3" t="s">
        <v>6</v>
      </c>
      <c r="D133" s="3">
        <v>2</v>
      </c>
      <c r="E133" s="14">
        <v>8692</v>
      </c>
      <c r="F133" s="17">
        <v>5100</v>
      </c>
      <c r="G133" s="3" t="s">
        <v>4</v>
      </c>
      <c r="H133" s="3">
        <v>0.74294718319871023</v>
      </c>
    </row>
    <row r="134" spans="1:8" x14ac:dyDescent="0.25">
      <c r="A134" s="3" t="s">
        <v>147</v>
      </c>
      <c r="B134" s="3">
        <v>133</v>
      </c>
      <c r="C134" s="3" t="s">
        <v>13</v>
      </c>
      <c r="D134" s="3">
        <v>5</v>
      </c>
      <c r="E134" s="14">
        <v>19583</v>
      </c>
      <c r="F134" s="17">
        <v>23000</v>
      </c>
      <c r="G134" s="3" t="s">
        <v>4</v>
      </c>
      <c r="H134" s="3">
        <v>0.75879532902155045</v>
      </c>
    </row>
    <row r="135" spans="1:8" x14ac:dyDescent="0.25">
      <c r="A135" s="3" t="s">
        <v>148</v>
      </c>
      <c r="B135" s="3">
        <v>134</v>
      </c>
      <c r="C135" s="3" t="s">
        <v>6</v>
      </c>
      <c r="D135" s="3">
        <v>2</v>
      </c>
      <c r="E135" s="14">
        <v>4783</v>
      </c>
      <c r="F135" s="17">
        <v>4000</v>
      </c>
      <c r="G135" s="3" t="s">
        <v>7</v>
      </c>
      <c r="H135" s="3">
        <v>0.38701268072210893</v>
      </c>
    </row>
    <row r="136" spans="1:8" x14ac:dyDescent="0.25">
      <c r="A136" s="3" t="s">
        <v>149</v>
      </c>
      <c r="B136" s="3">
        <v>135</v>
      </c>
      <c r="C136" s="3" t="s">
        <v>3</v>
      </c>
      <c r="D136" s="3">
        <v>4</v>
      </c>
      <c r="E136" s="14">
        <v>10633</v>
      </c>
      <c r="F136" s="17">
        <v>12000</v>
      </c>
      <c r="G136" s="3" t="s">
        <v>10</v>
      </c>
      <c r="H136" s="3">
        <v>0.75635841405687665</v>
      </c>
    </row>
    <row r="137" spans="1:8" x14ac:dyDescent="0.25">
      <c r="A137" s="3" t="s">
        <v>150</v>
      </c>
      <c r="B137" s="3">
        <v>136</v>
      </c>
      <c r="C137" s="3" t="s">
        <v>13</v>
      </c>
      <c r="D137" s="3">
        <v>3</v>
      </c>
      <c r="E137" s="14">
        <v>12967</v>
      </c>
      <c r="F137" s="17">
        <v>35000</v>
      </c>
      <c r="G137" s="3" t="s">
        <v>7</v>
      </c>
      <c r="H137" s="3">
        <v>0.54169069828006822</v>
      </c>
    </row>
    <row r="138" spans="1:8" x14ac:dyDescent="0.25">
      <c r="A138" s="3" t="s">
        <v>151</v>
      </c>
      <c r="B138" s="3">
        <v>137</v>
      </c>
      <c r="C138" s="3" t="s">
        <v>13</v>
      </c>
      <c r="D138" s="3">
        <v>3</v>
      </c>
      <c r="E138" s="14">
        <v>9217</v>
      </c>
      <c r="F138" s="17">
        <v>5000</v>
      </c>
      <c r="G138" s="3" t="s">
        <v>14</v>
      </c>
      <c r="H138" s="3">
        <v>0.82174919844604566</v>
      </c>
    </row>
    <row r="139" spans="1:8" x14ac:dyDescent="0.25">
      <c r="A139" s="3" t="s">
        <v>152</v>
      </c>
      <c r="B139" s="3">
        <v>138</v>
      </c>
      <c r="C139" s="3" t="s">
        <v>6</v>
      </c>
      <c r="D139" s="3">
        <v>4</v>
      </c>
      <c r="E139" s="14">
        <v>6717</v>
      </c>
      <c r="F139" s="17">
        <v>3000</v>
      </c>
      <c r="G139" s="3" t="s">
        <v>45</v>
      </c>
      <c r="H139" s="3">
        <v>0.1777989757760926</v>
      </c>
    </row>
    <row r="140" spans="1:8" x14ac:dyDescent="0.25">
      <c r="A140" s="3" t="s">
        <v>153</v>
      </c>
      <c r="B140" s="3">
        <v>139</v>
      </c>
      <c r="C140" s="3" t="s">
        <v>3</v>
      </c>
      <c r="D140" s="3">
        <v>4</v>
      </c>
      <c r="E140" s="14">
        <v>20833</v>
      </c>
      <c r="F140" s="17">
        <v>10000</v>
      </c>
      <c r="G140" s="3" t="s">
        <v>45</v>
      </c>
      <c r="H140" s="3">
        <v>0.53330748517646509</v>
      </c>
    </row>
    <row r="141" spans="1:8" x14ac:dyDescent="0.25">
      <c r="A141" s="3" t="s">
        <v>154</v>
      </c>
      <c r="B141" s="3">
        <v>140</v>
      </c>
      <c r="C141" s="3" t="s">
        <v>3</v>
      </c>
      <c r="D141" s="3">
        <v>3</v>
      </c>
      <c r="E141" s="14">
        <v>6600</v>
      </c>
      <c r="F141" s="17">
        <v>6000</v>
      </c>
      <c r="G141" s="3" t="s">
        <v>4</v>
      </c>
      <c r="H141" s="3">
        <v>0.55288142229043746</v>
      </c>
    </row>
    <row r="142" spans="1:8" x14ac:dyDescent="0.25">
      <c r="A142" s="3" t="s">
        <v>155</v>
      </c>
      <c r="B142" s="3">
        <v>141</v>
      </c>
      <c r="C142" s="3" t="s">
        <v>24</v>
      </c>
      <c r="D142" s="3">
        <v>3</v>
      </c>
      <c r="E142" s="14">
        <v>10323</v>
      </c>
      <c r="F142" s="17">
        <v>6450</v>
      </c>
      <c r="G142" s="3" t="s">
        <v>10</v>
      </c>
      <c r="H142" s="3">
        <v>0.76734993672590113</v>
      </c>
    </row>
    <row r="143" spans="1:8" x14ac:dyDescent="0.25">
      <c r="A143" s="3" t="s">
        <v>156</v>
      </c>
      <c r="B143" s="3">
        <v>142</v>
      </c>
      <c r="C143" s="3" t="s">
        <v>13</v>
      </c>
      <c r="D143" s="3">
        <v>2</v>
      </c>
      <c r="E143" s="14">
        <v>4440</v>
      </c>
      <c r="F143" s="17">
        <v>4200</v>
      </c>
      <c r="G143" s="3" t="s">
        <v>10</v>
      </c>
      <c r="H143" s="3">
        <v>0.69366042985829934</v>
      </c>
    </row>
    <row r="144" spans="1:8" x14ac:dyDescent="0.25">
      <c r="A144" s="3" t="s">
        <v>157</v>
      </c>
      <c r="B144" s="3">
        <v>143</v>
      </c>
      <c r="C144" s="3" t="s">
        <v>24</v>
      </c>
      <c r="D144" s="3">
        <v>6</v>
      </c>
      <c r="E144" s="14">
        <v>17983</v>
      </c>
      <c r="F144" s="17">
        <v>6500</v>
      </c>
      <c r="G144" s="3" t="s">
        <v>14</v>
      </c>
      <c r="H144" s="3">
        <v>0.16619508816213791</v>
      </c>
    </row>
    <row r="145" spans="1:8" x14ac:dyDescent="0.25">
      <c r="A145" s="3" t="s">
        <v>158</v>
      </c>
      <c r="B145" s="3">
        <v>144</v>
      </c>
      <c r="C145" s="3" t="s">
        <v>13</v>
      </c>
      <c r="D145" s="3">
        <v>5</v>
      </c>
      <c r="E145" s="14">
        <v>7744</v>
      </c>
      <c r="F145" s="17">
        <v>4250</v>
      </c>
      <c r="G145" s="3" t="s">
        <v>42</v>
      </c>
      <c r="H145" s="3">
        <v>0.97619691160061861</v>
      </c>
    </row>
    <row r="146" spans="1:8" x14ac:dyDescent="0.25">
      <c r="A146" s="3" t="s">
        <v>159</v>
      </c>
      <c r="B146" s="3">
        <v>145</v>
      </c>
      <c r="C146" s="3" t="s">
        <v>6</v>
      </c>
      <c r="D146" s="3">
        <v>3</v>
      </c>
      <c r="E146" s="14">
        <v>19725</v>
      </c>
      <c r="F146" s="17">
        <v>6840</v>
      </c>
      <c r="G146" s="3" t="s">
        <v>34</v>
      </c>
      <c r="H146" s="3">
        <v>0.38043421109659648</v>
      </c>
    </row>
    <row r="147" spans="1:8" x14ac:dyDescent="0.25">
      <c r="A147" s="3" t="s">
        <v>160</v>
      </c>
      <c r="B147" s="3">
        <v>146</v>
      </c>
      <c r="C147" s="3" t="s">
        <v>3</v>
      </c>
      <c r="D147" s="3">
        <v>3</v>
      </c>
      <c r="E147" s="14">
        <v>8953</v>
      </c>
      <c r="F147" s="17">
        <v>4600</v>
      </c>
      <c r="G147" s="3" t="s">
        <v>14</v>
      </c>
      <c r="H147" s="3">
        <v>0.44000948598650524</v>
      </c>
    </row>
    <row r="148" spans="1:8" x14ac:dyDescent="0.25">
      <c r="A148" s="3" t="s">
        <v>161</v>
      </c>
      <c r="B148" s="3">
        <v>147</v>
      </c>
      <c r="C148" s="3" t="s">
        <v>3</v>
      </c>
      <c r="D148" s="3">
        <v>2</v>
      </c>
      <c r="E148" s="14">
        <v>8167</v>
      </c>
      <c r="F148" s="17">
        <v>12500</v>
      </c>
      <c r="G148" s="3" t="s">
        <v>10</v>
      </c>
      <c r="H148" s="3">
        <v>0.87484140209716899</v>
      </c>
    </row>
    <row r="149" spans="1:8" x14ac:dyDescent="0.25">
      <c r="A149" s="3" t="s">
        <v>162</v>
      </c>
      <c r="B149" s="3">
        <v>148</v>
      </c>
      <c r="C149" s="3" t="s">
        <v>6</v>
      </c>
      <c r="D149" s="3">
        <v>4</v>
      </c>
      <c r="E149" s="14">
        <v>10600</v>
      </c>
      <c r="F149" s="17">
        <v>5000</v>
      </c>
      <c r="G149" s="3" t="s">
        <v>10</v>
      </c>
      <c r="H149" s="3">
        <v>0.28966410865794878</v>
      </c>
    </row>
    <row r="150" spans="1:8" x14ac:dyDescent="0.25">
      <c r="A150" s="3" t="s">
        <v>163</v>
      </c>
      <c r="B150" s="3">
        <v>149</v>
      </c>
      <c r="C150" s="3" t="s">
        <v>6</v>
      </c>
      <c r="D150" s="3">
        <v>3</v>
      </c>
      <c r="E150" s="14">
        <v>7092</v>
      </c>
      <c r="F150" s="17">
        <v>3500</v>
      </c>
      <c r="G150" s="3" t="s">
        <v>10</v>
      </c>
      <c r="H150" s="3">
        <v>0.22408982755894591</v>
      </c>
    </row>
    <row r="151" spans="1:8" x14ac:dyDescent="0.25">
      <c r="A151" s="3" t="s">
        <v>164</v>
      </c>
      <c r="B151" s="3">
        <v>150</v>
      </c>
      <c r="C151" s="3" t="s">
        <v>3</v>
      </c>
      <c r="D151" s="3">
        <v>3</v>
      </c>
      <c r="E151" s="14">
        <v>14083</v>
      </c>
      <c r="F151" s="17">
        <v>7500</v>
      </c>
      <c r="G151" s="3" t="s">
        <v>4</v>
      </c>
      <c r="H151" s="3">
        <v>4.4829296587803991E-2</v>
      </c>
    </row>
    <row r="152" spans="1:8" x14ac:dyDescent="0.25">
      <c r="A152" s="3" t="s">
        <v>165</v>
      </c>
      <c r="B152" s="3">
        <v>151</v>
      </c>
      <c r="C152" s="3" t="s">
        <v>13</v>
      </c>
      <c r="D152" s="3">
        <v>4</v>
      </c>
      <c r="E152" s="14">
        <v>9067</v>
      </c>
      <c r="F152" s="17">
        <v>9000</v>
      </c>
      <c r="G152" s="3" t="s">
        <v>10</v>
      </c>
      <c r="H152" s="3">
        <v>0.69120934957471347</v>
      </c>
    </row>
    <row r="153" spans="1:8" x14ac:dyDescent="0.25">
      <c r="A153" s="3" t="s">
        <v>166</v>
      </c>
      <c r="B153" s="3">
        <v>152</v>
      </c>
      <c r="C153" s="3" t="s">
        <v>6</v>
      </c>
      <c r="D153" s="3">
        <v>3</v>
      </c>
      <c r="E153" s="14">
        <v>10167</v>
      </c>
      <c r="F153" s="17">
        <v>12000</v>
      </c>
      <c r="G153" s="3" t="s">
        <v>14</v>
      </c>
      <c r="H153" s="3">
        <v>0.22326850181105928</v>
      </c>
    </row>
    <row r="154" spans="1:8" x14ac:dyDescent="0.25">
      <c r="A154" s="3" t="s">
        <v>167</v>
      </c>
      <c r="B154" s="3">
        <v>153</v>
      </c>
      <c r="C154" s="3" t="s">
        <v>3</v>
      </c>
      <c r="D154" s="3">
        <v>4</v>
      </c>
      <c r="E154" s="14">
        <v>8833</v>
      </c>
      <c r="F154" s="17">
        <v>10000</v>
      </c>
      <c r="G154" s="3" t="s">
        <v>14</v>
      </c>
      <c r="H154" s="3">
        <v>0.314779491217139</v>
      </c>
    </row>
    <row r="155" spans="1:8" x14ac:dyDescent="0.25">
      <c r="A155" s="3" t="s">
        <v>168</v>
      </c>
      <c r="B155" s="3">
        <v>154</v>
      </c>
      <c r="C155" s="3" t="s">
        <v>3</v>
      </c>
      <c r="D155" s="3">
        <v>3</v>
      </c>
      <c r="E155" s="14">
        <v>18383</v>
      </c>
      <c r="F155" s="17">
        <v>17000</v>
      </c>
      <c r="G155" s="3" t="s">
        <v>45</v>
      </c>
      <c r="H155" s="3">
        <v>0.74322765379615952</v>
      </c>
    </row>
    <row r="156" spans="1:8" x14ac:dyDescent="0.25">
      <c r="A156" s="3" t="s">
        <v>169</v>
      </c>
      <c r="B156" s="3">
        <v>155</v>
      </c>
      <c r="C156" s="3" t="s">
        <v>6</v>
      </c>
      <c r="D156" s="3">
        <v>3</v>
      </c>
      <c r="E156" s="14">
        <v>35417</v>
      </c>
      <c r="F156" s="17">
        <v>25000</v>
      </c>
      <c r="G156" s="3" t="s">
        <v>45</v>
      </c>
      <c r="H156" s="3">
        <v>0.23907574698729583</v>
      </c>
    </row>
    <row r="157" spans="1:8" x14ac:dyDescent="0.25">
      <c r="A157" s="3" t="s">
        <v>170</v>
      </c>
      <c r="B157" s="3">
        <v>156</v>
      </c>
      <c r="C157" s="3" t="s">
        <v>24</v>
      </c>
      <c r="D157" s="3">
        <v>2</v>
      </c>
      <c r="E157" s="14">
        <v>6583</v>
      </c>
      <c r="F157" s="17">
        <v>5000</v>
      </c>
      <c r="G157" s="3" t="s">
        <v>42</v>
      </c>
      <c r="H157" s="3">
        <v>0.4567873861847106</v>
      </c>
    </row>
    <row r="158" spans="1:8" x14ac:dyDescent="0.25">
      <c r="A158" s="3" t="s">
        <v>171</v>
      </c>
      <c r="B158" s="3">
        <v>157</v>
      </c>
      <c r="C158" s="3" t="s">
        <v>24</v>
      </c>
      <c r="D158" s="3">
        <v>4</v>
      </c>
      <c r="E158" s="14">
        <v>10000</v>
      </c>
      <c r="F158" s="17">
        <v>10500</v>
      </c>
      <c r="G158" s="3" t="s">
        <v>7</v>
      </c>
      <c r="H158" s="3">
        <v>0.88663853085271038</v>
      </c>
    </row>
    <row r="159" spans="1:8" x14ac:dyDescent="0.25">
      <c r="A159" s="3" t="s">
        <v>172</v>
      </c>
      <c r="B159" s="3">
        <v>158</v>
      </c>
      <c r="C159" s="3" t="s">
        <v>6</v>
      </c>
      <c r="D159" s="3">
        <v>4</v>
      </c>
      <c r="E159" s="14">
        <v>8625</v>
      </c>
      <c r="F159" s="17">
        <v>7500</v>
      </c>
      <c r="G159" s="3" t="s">
        <v>14</v>
      </c>
      <c r="H159" s="3">
        <v>0.91009636317911313</v>
      </c>
    </row>
    <row r="160" spans="1:8" x14ac:dyDescent="0.25">
      <c r="A160" s="3" t="s">
        <v>173</v>
      </c>
      <c r="B160" s="3">
        <v>159</v>
      </c>
      <c r="C160" s="3" t="s">
        <v>13</v>
      </c>
      <c r="D160" s="3">
        <v>4</v>
      </c>
      <c r="E160" s="14">
        <v>12157</v>
      </c>
      <c r="F160" s="17">
        <v>7200</v>
      </c>
      <c r="G160" s="3" t="s">
        <v>14</v>
      </c>
      <c r="H160" s="3">
        <v>0.29598175514438452</v>
      </c>
    </row>
    <row r="161" spans="1:8" x14ac:dyDescent="0.25">
      <c r="A161" s="3" t="s">
        <v>174</v>
      </c>
      <c r="B161" s="3">
        <v>160</v>
      </c>
      <c r="C161" s="3" t="s">
        <v>6</v>
      </c>
      <c r="D161" s="3">
        <v>4</v>
      </c>
      <c r="E161" s="14">
        <v>10067</v>
      </c>
      <c r="F161" s="17">
        <v>5000</v>
      </c>
      <c r="G161" s="3" t="s">
        <v>10</v>
      </c>
      <c r="H161" s="3">
        <v>0.32733453411213875</v>
      </c>
    </row>
    <row r="162" spans="1:8" x14ac:dyDescent="0.25">
      <c r="A162" s="3" t="s">
        <v>175</v>
      </c>
      <c r="B162" s="3">
        <v>161</v>
      </c>
      <c r="C162" s="3" t="s">
        <v>6</v>
      </c>
      <c r="D162" s="3">
        <v>7</v>
      </c>
      <c r="E162" s="14">
        <v>34840</v>
      </c>
      <c r="F162" s="17">
        <v>11230</v>
      </c>
      <c r="G162" s="3" t="s">
        <v>4</v>
      </c>
      <c r="H162" s="3">
        <v>0.58726220823353503</v>
      </c>
    </row>
    <row r="163" spans="1:8" x14ac:dyDescent="0.25">
      <c r="A163" s="3" t="s">
        <v>176</v>
      </c>
      <c r="B163" s="3">
        <v>162</v>
      </c>
      <c r="C163" s="3" t="s">
        <v>24</v>
      </c>
      <c r="D163" s="3">
        <v>5</v>
      </c>
      <c r="E163" s="14">
        <v>9325</v>
      </c>
      <c r="F163" s="17">
        <v>8000</v>
      </c>
      <c r="G163" s="3" t="s">
        <v>14</v>
      </c>
      <c r="H163" s="3">
        <v>0.43421900132148117</v>
      </c>
    </row>
    <row r="164" spans="1:8" x14ac:dyDescent="0.25">
      <c r="A164" s="3" t="s">
        <v>177</v>
      </c>
      <c r="B164" s="3">
        <v>163</v>
      </c>
      <c r="C164" s="3" t="s">
        <v>3</v>
      </c>
      <c r="D164" s="3">
        <v>4</v>
      </c>
      <c r="E164" s="14">
        <v>11299</v>
      </c>
      <c r="F164" s="17">
        <v>13000</v>
      </c>
      <c r="G164" s="3" t="s">
        <v>10</v>
      </c>
      <c r="H164" s="3">
        <v>0.26401434893726472</v>
      </c>
    </row>
    <row r="165" spans="1:8" x14ac:dyDescent="0.25">
      <c r="A165" s="3" t="s">
        <v>178</v>
      </c>
      <c r="B165" s="3">
        <v>164</v>
      </c>
      <c r="C165" s="3" t="s">
        <v>24</v>
      </c>
      <c r="D165" s="3">
        <v>5</v>
      </c>
      <c r="E165" s="14">
        <v>17352</v>
      </c>
      <c r="F165" s="17">
        <v>7500</v>
      </c>
      <c r="G165" s="3" t="s">
        <v>45</v>
      </c>
      <c r="H165" s="3">
        <v>0.7518378472606575</v>
      </c>
    </row>
    <row r="166" spans="1:8" x14ac:dyDescent="0.25">
      <c r="A166" s="3" t="s">
        <v>179</v>
      </c>
      <c r="B166" s="3">
        <v>165</v>
      </c>
      <c r="C166" s="3" t="s">
        <v>3</v>
      </c>
      <c r="D166" s="3">
        <v>6</v>
      </c>
      <c r="E166" s="14">
        <v>12892</v>
      </c>
      <c r="F166" s="17">
        <v>34600</v>
      </c>
      <c r="G166" s="3" t="s">
        <v>10</v>
      </c>
      <c r="H166" s="3">
        <v>0.31367462276080815</v>
      </c>
    </row>
    <row r="167" spans="1:8" x14ac:dyDescent="0.25">
      <c r="A167" s="3" t="s">
        <v>180</v>
      </c>
      <c r="B167" s="3">
        <v>166</v>
      </c>
      <c r="C167" s="3" t="s">
        <v>6</v>
      </c>
      <c r="D167" s="3">
        <v>2</v>
      </c>
      <c r="E167" s="14">
        <v>5215</v>
      </c>
      <c r="F167" s="17">
        <v>5000</v>
      </c>
      <c r="G167" s="3" t="s">
        <v>45</v>
      </c>
      <c r="H167" s="3">
        <v>0.10540922254165996</v>
      </c>
    </row>
    <row r="168" spans="1:8" x14ac:dyDescent="0.25">
      <c r="A168" s="3" t="s">
        <v>181</v>
      </c>
      <c r="B168" s="3">
        <v>167</v>
      </c>
      <c r="C168" s="3" t="s">
        <v>6</v>
      </c>
      <c r="D168" s="3">
        <v>5</v>
      </c>
      <c r="E168" s="14">
        <v>13048</v>
      </c>
      <c r="F168" s="17">
        <v>18300</v>
      </c>
      <c r="G168" s="3" t="s">
        <v>7</v>
      </c>
      <c r="H168" s="3">
        <v>0.64022396971328788</v>
      </c>
    </row>
    <row r="169" spans="1:8" x14ac:dyDescent="0.25">
      <c r="A169" s="3" t="s">
        <v>182</v>
      </c>
      <c r="B169" s="3">
        <v>168</v>
      </c>
      <c r="C169" s="3" t="s">
        <v>6</v>
      </c>
      <c r="D169" s="3">
        <v>3</v>
      </c>
      <c r="E169" s="14">
        <v>19577</v>
      </c>
      <c r="F169" s="17">
        <v>17550</v>
      </c>
      <c r="G169" s="3" t="s">
        <v>45</v>
      </c>
      <c r="H169" s="3">
        <v>0.32150427783051572</v>
      </c>
    </row>
    <row r="170" spans="1:8" x14ac:dyDescent="0.25">
      <c r="A170" s="3" t="s">
        <v>183</v>
      </c>
      <c r="B170" s="3">
        <v>169</v>
      </c>
      <c r="C170" s="3" t="s">
        <v>3</v>
      </c>
      <c r="D170" s="3">
        <v>4</v>
      </c>
      <c r="E170" s="14">
        <v>33983</v>
      </c>
      <c r="F170" s="17">
        <v>25000</v>
      </c>
      <c r="G170" s="3" t="s">
        <v>7</v>
      </c>
      <c r="H170" s="3">
        <v>0.93564492873995819</v>
      </c>
    </row>
    <row r="171" spans="1:8" x14ac:dyDescent="0.25">
      <c r="A171" s="3" t="s">
        <v>184</v>
      </c>
      <c r="B171" s="3">
        <v>170</v>
      </c>
      <c r="C171" s="3" t="s">
        <v>3</v>
      </c>
      <c r="D171" s="3">
        <v>4</v>
      </c>
      <c r="E171" s="14">
        <v>10217</v>
      </c>
      <c r="F171" s="17">
        <v>23800</v>
      </c>
      <c r="G171" s="3" t="s">
        <v>14</v>
      </c>
      <c r="H171" s="3">
        <v>9.8057475303279906E-2</v>
      </c>
    </row>
    <row r="172" spans="1:8" x14ac:dyDescent="0.25">
      <c r="A172" s="3" t="s">
        <v>185</v>
      </c>
      <c r="B172" s="3">
        <v>171</v>
      </c>
      <c r="C172" s="3" t="s">
        <v>6</v>
      </c>
      <c r="D172" s="3">
        <v>4</v>
      </c>
      <c r="E172" s="14">
        <v>10267</v>
      </c>
      <c r="F172" s="17">
        <v>9000</v>
      </c>
      <c r="G172" s="3" t="s">
        <v>10</v>
      </c>
      <c r="H172" s="3">
        <v>0.48933555286079566</v>
      </c>
    </row>
    <row r="173" spans="1:8" x14ac:dyDescent="0.25">
      <c r="A173" s="3" t="s">
        <v>186</v>
      </c>
      <c r="B173" s="3">
        <v>172</v>
      </c>
      <c r="C173" s="3" t="s">
        <v>13</v>
      </c>
      <c r="D173" s="3">
        <v>3</v>
      </c>
      <c r="E173" s="14">
        <v>23750</v>
      </c>
      <c r="F173" s="17">
        <v>17000</v>
      </c>
      <c r="G173" s="3" t="s">
        <v>7</v>
      </c>
      <c r="H173" s="3">
        <v>0.1446940074719496</v>
      </c>
    </row>
    <row r="174" spans="1:8" x14ac:dyDescent="0.25">
      <c r="A174" s="3" t="s">
        <v>187</v>
      </c>
      <c r="B174" s="3">
        <v>173</v>
      </c>
      <c r="C174" s="3" t="s">
        <v>13</v>
      </c>
      <c r="D174" s="3">
        <v>9</v>
      </c>
      <c r="E174" s="14">
        <v>10900</v>
      </c>
      <c r="F174" s="17">
        <v>12000</v>
      </c>
      <c r="G174" s="3" t="s">
        <v>14</v>
      </c>
      <c r="H174" s="3">
        <v>3.3688855621817448E-2</v>
      </c>
    </row>
    <row r="175" spans="1:8" x14ac:dyDescent="0.25">
      <c r="A175" s="3" t="s">
        <v>188</v>
      </c>
      <c r="B175" s="3">
        <v>174</v>
      </c>
      <c r="C175" s="3" t="s">
        <v>3</v>
      </c>
      <c r="D175" s="3">
        <v>4</v>
      </c>
      <c r="E175" s="14">
        <v>19583</v>
      </c>
      <c r="F175" s="17">
        <v>4000</v>
      </c>
      <c r="G175" s="3" t="s">
        <v>4</v>
      </c>
      <c r="H175" s="3">
        <v>0.126371509764023</v>
      </c>
    </row>
    <row r="176" spans="1:8" x14ac:dyDescent="0.25">
      <c r="A176" s="3" t="s">
        <v>189</v>
      </c>
      <c r="B176" s="3">
        <v>175</v>
      </c>
      <c r="C176" s="3" t="s">
        <v>3</v>
      </c>
      <c r="D176" s="3">
        <v>4</v>
      </c>
      <c r="E176" s="14">
        <v>6167</v>
      </c>
      <c r="F176" s="17">
        <v>10000</v>
      </c>
      <c r="G176" s="3" t="s">
        <v>10</v>
      </c>
      <c r="H176" s="3">
        <v>6.2541835650685829E-2</v>
      </c>
    </row>
    <row r="177" spans="1:8" x14ac:dyDescent="0.25">
      <c r="A177" s="3" t="s">
        <v>190</v>
      </c>
      <c r="B177" s="3">
        <v>176</v>
      </c>
      <c r="C177" s="3" t="s">
        <v>3</v>
      </c>
      <c r="D177" s="3">
        <v>4</v>
      </c>
      <c r="E177" s="14">
        <v>26000</v>
      </c>
      <c r="F177" s="17">
        <v>12000</v>
      </c>
      <c r="G177" s="3" t="s">
        <v>45</v>
      </c>
      <c r="H177" s="3">
        <v>0.25049785283039994</v>
      </c>
    </row>
    <row r="178" spans="1:8" x14ac:dyDescent="0.25">
      <c r="A178" s="3" t="s">
        <v>191</v>
      </c>
      <c r="B178" s="3">
        <v>177</v>
      </c>
      <c r="C178" s="3" t="s">
        <v>3</v>
      </c>
      <c r="D178" s="3">
        <v>7</v>
      </c>
      <c r="E178" s="14">
        <v>17033</v>
      </c>
      <c r="F178" s="17">
        <v>45000</v>
      </c>
      <c r="G178" s="3" t="s">
        <v>45</v>
      </c>
      <c r="H178" s="3">
        <v>0.93682345365944841</v>
      </c>
    </row>
    <row r="179" spans="1:8" x14ac:dyDescent="0.25">
      <c r="A179" s="3" t="s">
        <v>192</v>
      </c>
      <c r="B179" s="3">
        <v>178</v>
      </c>
      <c r="C179" s="3" t="s">
        <v>13</v>
      </c>
      <c r="D179" s="3">
        <v>6</v>
      </c>
      <c r="E179" s="14">
        <v>23250</v>
      </c>
      <c r="F179" s="17">
        <v>30000</v>
      </c>
      <c r="G179" s="3" t="s">
        <v>45</v>
      </c>
      <c r="H179" s="3">
        <v>0.8823789596186552</v>
      </c>
    </row>
    <row r="180" spans="1:8" x14ac:dyDescent="0.25">
      <c r="A180" s="3" t="s">
        <v>193</v>
      </c>
      <c r="B180" s="3">
        <v>179</v>
      </c>
      <c r="C180" s="3" t="s">
        <v>6</v>
      </c>
      <c r="D180" s="3">
        <v>1</v>
      </c>
      <c r="E180" s="14">
        <v>20467</v>
      </c>
      <c r="F180" s="17">
        <v>2000</v>
      </c>
      <c r="G180" s="3" t="s">
        <v>42</v>
      </c>
      <c r="H180" s="3">
        <v>0.45464491849288557</v>
      </c>
    </row>
    <row r="181" spans="1:8" x14ac:dyDescent="0.25">
      <c r="A181" s="3" t="s">
        <v>194</v>
      </c>
      <c r="B181" s="3">
        <v>180</v>
      </c>
      <c r="C181" s="3" t="s">
        <v>3</v>
      </c>
      <c r="D181" s="3">
        <v>1</v>
      </c>
      <c r="E181" s="14">
        <v>3193</v>
      </c>
      <c r="F181" s="17">
        <v>2320</v>
      </c>
      <c r="G181" s="3" t="s">
        <v>42</v>
      </c>
      <c r="H181" s="3">
        <v>0.35046385920843381</v>
      </c>
    </row>
    <row r="182" spans="1:8" x14ac:dyDescent="0.25">
      <c r="A182" s="3" t="s">
        <v>195</v>
      </c>
      <c r="B182" s="3">
        <v>181</v>
      </c>
      <c r="C182" s="3" t="s">
        <v>3</v>
      </c>
      <c r="D182" s="3">
        <v>4</v>
      </c>
      <c r="E182" s="14">
        <v>7867</v>
      </c>
      <c r="F182" s="17">
        <v>12000</v>
      </c>
      <c r="G182" s="3" t="s">
        <v>10</v>
      </c>
      <c r="H182" s="3">
        <v>0.87743325801999394</v>
      </c>
    </row>
    <row r="183" spans="1:8" x14ac:dyDescent="0.25">
      <c r="A183" s="3" t="s">
        <v>196</v>
      </c>
      <c r="B183" s="3">
        <v>182</v>
      </c>
      <c r="C183" s="3" t="s">
        <v>3</v>
      </c>
      <c r="D183" s="3">
        <v>3</v>
      </c>
      <c r="E183" s="14">
        <v>20463</v>
      </c>
      <c r="F183" s="17">
        <v>10850</v>
      </c>
      <c r="G183" s="3" t="s">
        <v>14</v>
      </c>
      <c r="H183" s="3">
        <v>0.53595082843169461</v>
      </c>
    </row>
    <row r="184" spans="1:8" x14ac:dyDescent="0.25">
      <c r="A184" s="3" t="s">
        <v>197</v>
      </c>
      <c r="B184" s="3">
        <v>183</v>
      </c>
      <c r="C184" s="3" t="s">
        <v>24</v>
      </c>
      <c r="D184" s="3">
        <v>5</v>
      </c>
      <c r="E184" s="14">
        <v>12648</v>
      </c>
      <c r="F184" s="17">
        <v>9500</v>
      </c>
      <c r="G184" s="3" t="s">
        <v>10</v>
      </c>
      <c r="H184" s="3">
        <v>0.17250715324436949</v>
      </c>
    </row>
    <row r="185" spans="1:8" x14ac:dyDescent="0.25">
      <c r="A185" s="3" t="s">
        <v>198</v>
      </c>
      <c r="B185" s="3">
        <v>184</v>
      </c>
      <c r="C185" s="3" t="s">
        <v>3</v>
      </c>
      <c r="D185" s="3">
        <v>6</v>
      </c>
      <c r="E185" s="14">
        <v>19833</v>
      </c>
      <c r="F185" s="17">
        <v>14000</v>
      </c>
      <c r="G185" s="3" t="s">
        <v>10</v>
      </c>
      <c r="H185" s="3">
        <v>0.78806729630202887</v>
      </c>
    </row>
    <row r="186" spans="1:8" x14ac:dyDescent="0.25">
      <c r="A186" s="3" t="s">
        <v>199</v>
      </c>
      <c r="B186" s="3">
        <v>185</v>
      </c>
      <c r="C186" s="3" t="s">
        <v>3</v>
      </c>
      <c r="D186" s="3">
        <v>1</v>
      </c>
      <c r="E186" s="14">
        <v>7375</v>
      </c>
      <c r="F186" s="17">
        <v>3500</v>
      </c>
      <c r="G186" s="3" t="s">
        <v>4</v>
      </c>
      <c r="H186" s="3">
        <v>0.52308532808904395</v>
      </c>
    </row>
    <row r="187" spans="1:8" x14ac:dyDescent="0.25">
      <c r="A187" s="3" t="s">
        <v>200</v>
      </c>
      <c r="B187" s="3">
        <v>186</v>
      </c>
      <c r="C187" s="3" t="s">
        <v>3</v>
      </c>
      <c r="D187" s="3">
        <v>3</v>
      </c>
      <c r="E187" s="14">
        <v>7201</v>
      </c>
      <c r="F187" s="17">
        <v>5400</v>
      </c>
      <c r="G187" s="3" t="s">
        <v>7</v>
      </c>
      <c r="H187" s="3">
        <v>4.9299301431075637E-2</v>
      </c>
    </row>
    <row r="188" spans="1:8" x14ac:dyDescent="0.25">
      <c r="A188" s="3" t="s">
        <v>201</v>
      </c>
      <c r="B188" s="3">
        <v>187</v>
      </c>
      <c r="C188" s="3" t="s">
        <v>3</v>
      </c>
      <c r="D188" s="3">
        <v>1</v>
      </c>
      <c r="E188" s="14">
        <v>20452</v>
      </c>
      <c r="F188" s="17">
        <v>2000</v>
      </c>
      <c r="G188" s="3" t="s">
        <v>42</v>
      </c>
      <c r="H188" s="3">
        <v>0.78634267492130194</v>
      </c>
    </row>
    <row r="189" spans="1:8" x14ac:dyDescent="0.25">
      <c r="A189" s="3" t="s">
        <v>202</v>
      </c>
      <c r="B189" s="3">
        <v>188</v>
      </c>
      <c r="C189" s="3" t="s">
        <v>24</v>
      </c>
      <c r="D189" s="3">
        <v>5</v>
      </c>
      <c r="E189" s="14">
        <v>16258</v>
      </c>
      <c r="F189" s="17">
        <v>18000</v>
      </c>
      <c r="G189" s="3" t="s">
        <v>14</v>
      </c>
      <c r="H189" s="3">
        <v>0.23302301433802353</v>
      </c>
    </row>
    <row r="190" spans="1:8" x14ac:dyDescent="0.25">
      <c r="A190" s="3" t="s">
        <v>203</v>
      </c>
      <c r="B190" s="3">
        <v>189</v>
      </c>
      <c r="C190" s="3" t="s">
        <v>6</v>
      </c>
      <c r="D190" s="3">
        <v>7</v>
      </c>
      <c r="E190" s="14">
        <v>13333</v>
      </c>
      <c r="F190" s="17">
        <v>12000</v>
      </c>
      <c r="G190" s="3" t="s">
        <v>4</v>
      </c>
      <c r="H190" s="3">
        <v>0.96251087764358922</v>
      </c>
    </row>
    <row r="191" spans="1:8" x14ac:dyDescent="0.25">
      <c r="A191" s="3" t="s">
        <v>204</v>
      </c>
      <c r="B191" s="3">
        <v>190</v>
      </c>
      <c r="C191" s="3" t="s">
        <v>6</v>
      </c>
      <c r="D191" s="3">
        <v>3</v>
      </c>
      <c r="E191" s="14">
        <v>5436</v>
      </c>
      <c r="F191" s="17">
        <v>4730</v>
      </c>
      <c r="G191" s="3" t="s">
        <v>4</v>
      </c>
      <c r="H191" s="3">
        <v>0.74780078035174313</v>
      </c>
    </row>
    <row r="192" spans="1:8" x14ac:dyDescent="0.25">
      <c r="A192" s="3" t="s">
        <v>205</v>
      </c>
      <c r="B192" s="3">
        <v>191</v>
      </c>
      <c r="C192" s="3" t="s">
        <v>3</v>
      </c>
      <c r="D192" s="3">
        <v>3</v>
      </c>
      <c r="E192" s="14">
        <v>9025</v>
      </c>
      <c r="F192" s="17">
        <v>13500</v>
      </c>
      <c r="G192" s="3" t="s">
        <v>34</v>
      </c>
      <c r="H192" s="3">
        <v>0.3282907033407555</v>
      </c>
    </row>
    <row r="193" spans="1:8" x14ac:dyDescent="0.25">
      <c r="A193" s="3" t="s">
        <v>206</v>
      </c>
      <c r="B193" s="3">
        <v>192</v>
      </c>
      <c r="C193" s="3" t="s">
        <v>24</v>
      </c>
      <c r="D193" s="3">
        <v>2</v>
      </c>
      <c r="E193" s="14">
        <v>4883</v>
      </c>
      <c r="F193" s="17">
        <v>5000</v>
      </c>
      <c r="G193" s="3" t="s">
        <v>10</v>
      </c>
      <c r="H193" s="3">
        <v>9.2927588853651266E-2</v>
      </c>
    </row>
    <row r="194" spans="1:8" x14ac:dyDescent="0.25">
      <c r="A194" s="3" t="s">
        <v>207</v>
      </c>
      <c r="B194" s="3">
        <v>193</v>
      </c>
      <c r="C194" s="3" t="s">
        <v>6</v>
      </c>
      <c r="D194" s="3">
        <v>3</v>
      </c>
      <c r="E194" s="14">
        <v>21883</v>
      </c>
      <c r="F194" s="17">
        <v>5000</v>
      </c>
      <c r="G194" s="3" t="s">
        <v>45</v>
      </c>
      <c r="H194" s="3">
        <v>0.94302762231168791</v>
      </c>
    </row>
    <row r="195" spans="1:8" x14ac:dyDescent="0.25">
      <c r="A195" s="3" t="s">
        <v>208</v>
      </c>
      <c r="B195" s="3">
        <v>194</v>
      </c>
      <c r="C195" s="3" t="s">
        <v>3</v>
      </c>
      <c r="D195" s="3">
        <v>6</v>
      </c>
      <c r="E195" s="14">
        <v>10567</v>
      </c>
      <c r="F195" s="17">
        <v>5000</v>
      </c>
      <c r="G195" s="3" t="s">
        <v>14</v>
      </c>
      <c r="H195" s="3">
        <v>0.79668494028047554</v>
      </c>
    </row>
    <row r="196" spans="1:8" x14ac:dyDescent="0.25">
      <c r="A196" s="3" t="s">
        <v>209</v>
      </c>
      <c r="B196" s="3">
        <v>195</v>
      </c>
      <c r="C196" s="3" t="s">
        <v>24</v>
      </c>
      <c r="D196" s="3">
        <v>4</v>
      </c>
      <c r="E196" s="14">
        <v>16713</v>
      </c>
      <c r="F196" s="17">
        <v>7000</v>
      </c>
      <c r="G196" s="3" t="s">
        <v>45</v>
      </c>
      <c r="H196" s="3">
        <v>0.87035823574276872</v>
      </c>
    </row>
    <row r="197" spans="1:8" x14ac:dyDescent="0.25">
      <c r="A197" s="3" t="s">
        <v>210</v>
      </c>
      <c r="B197" s="3">
        <v>196</v>
      </c>
      <c r="C197" s="3" t="s">
        <v>24</v>
      </c>
      <c r="D197" s="3">
        <v>7</v>
      </c>
      <c r="E197" s="14">
        <v>14583</v>
      </c>
      <c r="F197" s="17">
        <v>16000</v>
      </c>
      <c r="G197" s="3" t="s">
        <v>10</v>
      </c>
      <c r="H197" s="3">
        <v>0.60320978175573747</v>
      </c>
    </row>
    <row r="198" spans="1:8" x14ac:dyDescent="0.25">
      <c r="A198" s="3" t="s">
        <v>211</v>
      </c>
      <c r="B198" s="3">
        <v>197</v>
      </c>
      <c r="C198" s="3" t="s">
        <v>13</v>
      </c>
      <c r="D198" s="3">
        <v>1</v>
      </c>
      <c r="E198" s="14">
        <v>5450</v>
      </c>
      <c r="F198" s="17">
        <v>0</v>
      </c>
      <c r="G198" s="3" t="s">
        <v>42</v>
      </c>
      <c r="H198" s="3">
        <v>0.40797095641769798</v>
      </c>
    </row>
    <row r="199" spans="1:8" x14ac:dyDescent="0.25">
      <c r="A199" s="3" t="s">
        <v>212</v>
      </c>
      <c r="B199" s="3">
        <v>198</v>
      </c>
      <c r="C199" s="3" t="s">
        <v>24</v>
      </c>
      <c r="D199" s="3">
        <v>2</v>
      </c>
      <c r="E199" s="14">
        <v>6681</v>
      </c>
      <c r="F199" s="17">
        <v>10350</v>
      </c>
      <c r="G199" s="3" t="s">
        <v>4</v>
      </c>
      <c r="H199" s="3">
        <v>0.97450026823108593</v>
      </c>
    </row>
    <row r="200" spans="1:8" x14ac:dyDescent="0.25">
      <c r="A200" s="3" t="s">
        <v>213</v>
      </c>
      <c r="B200" s="3">
        <v>199</v>
      </c>
      <c r="C200" s="3" t="s">
        <v>3</v>
      </c>
      <c r="D200" s="3">
        <v>6</v>
      </c>
      <c r="E200" s="14">
        <v>11470</v>
      </c>
      <c r="F200" s="17">
        <v>21000</v>
      </c>
      <c r="G200" s="3" t="s">
        <v>4</v>
      </c>
      <c r="H200" s="3">
        <v>0.22935082256396178</v>
      </c>
    </row>
    <row r="201" spans="1:8" x14ac:dyDescent="0.25">
      <c r="A201" s="3" t="s">
        <v>214</v>
      </c>
      <c r="B201" s="3">
        <v>200</v>
      </c>
      <c r="C201" s="3" t="s">
        <v>3</v>
      </c>
      <c r="D201" s="3">
        <v>3</v>
      </c>
      <c r="E201" s="14">
        <v>2992</v>
      </c>
      <c r="F201" s="17">
        <v>9500</v>
      </c>
      <c r="G201" s="3" t="s">
        <v>4</v>
      </c>
      <c r="H201" s="3">
        <v>0.84649976416363604</v>
      </c>
    </row>
    <row r="202" spans="1:8" x14ac:dyDescent="0.25">
      <c r="A202" s="3" t="s">
        <v>215</v>
      </c>
      <c r="B202" s="3">
        <v>201</v>
      </c>
      <c r="C202" s="3" t="s">
        <v>3</v>
      </c>
      <c r="D202" s="3">
        <v>1</v>
      </c>
      <c r="E202" s="14">
        <v>15667</v>
      </c>
      <c r="F202" s="17">
        <v>5500</v>
      </c>
      <c r="G202" s="3" t="s">
        <v>10</v>
      </c>
      <c r="H202" s="3">
        <v>0.96867805337186541</v>
      </c>
    </row>
    <row r="203" spans="1:8" x14ac:dyDescent="0.25">
      <c r="A203" s="3" t="s">
        <v>216</v>
      </c>
      <c r="B203" s="3">
        <v>202</v>
      </c>
      <c r="C203" s="3" t="s">
        <v>24</v>
      </c>
      <c r="D203" s="3">
        <v>2</v>
      </c>
      <c r="E203" s="14">
        <v>6317</v>
      </c>
      <c r="F203" s="17">
        <v>7100</v>
      </c>
      <c r="G203" s="3" t="s">
        <v>14</v>
      </c>
      <c r="H203" s="3">
        <v>0.37673102334350206</v>
      </c>
    </row>
    <row r="204" spans="1:8" x14ac:dyDescent="0.25">
      <c r="A204" s="3" t="s">
        <v>217</v>
      </c>
      <c r="B204" s="3">
        <v>203</v>
      </c>
      <c r="C204" s="3" t="s">
        <v>6</v>
      </c>
      <c r="D204" s="3">
        <v>4</v>
      </c>
      <c r="E204" s="14">
        <v>5742</v>
      </c>
      <c r="F204" s="17">
        <v>6200</v>
      </c>
      <c r="G204" s="3" t="s">
        <v>7</v>
      </c>
      <c r="H204" s="3">
        <v>0.54992823475234021</v>
      </c>
    </row>
    <row r="205" spans="1:8" x14ac:dyDescent="0.25">
      <c r="A205" s="3" t="s">
        <v>218</v>
      </c>
      <c r="B205" s="3">
        <v>204</v>
      </c>
      <c r="C205" s="3" t="s">
        <v>24</v>
      </c>
      <c r="D205" s="3">
        <v>3</v>
      </c>
      <c r="E205" s="14">
        <v>7575</v>
      </c>
      <c r="F205" s="17">
        <v>4500</v>
      </c>
      <c r="G205" s="3" t="s">
        <v>10</v>
      </c>
      <c r="H205" s="3">
        <v>0.11348881840926139</v>
      </c>
    </row>
    <row r="206" spans="1:8" x14ac:dyDescent="0.25">
      <c r="A206" s="3" t="s">
        <v>219</v>
      </c>
      <c r="B206" s="3">
        <v>205</v>
      </c>
      <c r="C206" s="3" t="s">
        <v>6</v>
      </c>
      <c r="D206" s="3">
        <v>4</v>
      </c>
      <c r="E206" s="14">
        <v>12158</v>
      </c>
      <c r="F206" s="17">
        <v>6600</v>
      </c>
      <c r="G206" s="3" t="s">
        <v>7</v>
      </c>
      <c r="H206" s="3">
        <v>0.2103841136313287</v>
      </c>
    </row>
    <row r="207" spans="1:8" x14ac:dyDescent="0.25">
      <c r="A207" s="3" t="s">
        <v>220</v>
      </c>
      <c r="B207" s="3">
        <v>206</v>
      </c>
      <c r="C207" s="3" t="s">
        <v>6</v>
      </c>
      <c r="D207" s="3">
        <v>1</v>
      </c>
      <c r="E207" s="14">
        <v>3625</v>
      </c>
      <c r="F207" s="17">
        <v>1500</v>
      </c>
      <c r="G207" s="3" t="s">
        <v>42</v>
      </c>
      <c r="H207" s="3">
        <v>0.473114199957687</v>
      </c>
    </row>
    <row r="208" spans="1:8" x14ac:dyDescent="0.25">
      <c r="A208" s="3" t="s">
        <v>221</v>
      </c>
      <c r="B208" s="3">
        <v>207</v>
      </c>
      <c r="C208" s="3" t="s">
        <v>24</v>
      </c>
      <c r="D208" s="3">
        <v>6</v>
      </c>
      <c r="E208" s="14">
        <v>10050</v>
      </c>
      <c r="F208" s="17">
        <v>6500</v>
      </c>
      <c r="G208" s="3" t="s">
        <v>45</v>
      </c>
      <c r="H208" s="3">
        <v>0.28918515545203149</v>
      </c>
    </row>
    <row r="209" spans="1:8" x14ac:dyDescent="0.25">
      <c r="A209" s="3" t="s">
        <v>222</v>
      </c>
      <c r="B209" s="3">
        <v>208</v>
      </c>
      <c r="C209" s="3" t="s">
        <v>6</v>
      </c>
      <c r="D209" s="3">
        <v>8</v>
      </c>
      <c r="E209" s="14">
        <v>10800</v>
      </c>
      <c r="F209" s="17">
        <v>15000</v>
      </c>
      <c r="G209" s="3" t="s">
        <v>14</v>
      </c>
      <c r="H209" s="3">
        <v>0.50390655536634688</v>
      </c>
    </row>
    <row r="210" spans="1:8" x14ac:dyDescent="0.25">
      <c r="A210" s="3" t="s">
        <v>223</v>
      </c>
      <c r="B210" s="3">
        <v>209</v>
      </c>
      <c r="C210" s="3" t="s">
        <v>6</v>
      </c>
      <c r="D210" s="3">
        <v>2</v>
      </c>
      <c r="E210" s="14">
        <v>9467</v>
      </c>
      <c r="F210" s="17">
        <v>2000</v>
      </c>
      <c r="G210" s="3" t="s">
        <v>34</v>
      </c>
      <c r="H210" s="3">
        <v>0.60161911820637948</v>
      </c>
    </row>
    <row r="211" spans="1:8" x14ac:dyDescent="0.25">
      <c r="A211" s="3" t="s">
        <v>224</v>
      </c>
      <c r="B211" s="3">
        <v>210</v>
      </c>
      <c r="C211" s="3" t="s">
        <v>3</v>
      </c>
      <c r="D211" s="3">
        <v>2</v>
      </c>
      <c r="E211" s="14">
        <v>11667</v>
      </c>
      <c r="F211" s="17">
        <v>5000</v>
      </c>
      <c r="G211" s="3" t="s">
        <v>10</v>
      </c>
      <c r="H211" s="3">
        <v>0.5822033248302616</v>
      </c>
    </row>
    <row r="212" spans="1:8" x14ac:dyDescent="0.25">
      <c r="A212" s="3" t="s">
        <v>225</v>
      </c>
      <c r="B212" s="3">
        <v>211</v>
      </c>
      <c r="C212" s="3" t="s">
        <v>3</v>
      </c>
      <c r="D212" s="3">
        <v>4</v>
      </c>
      <c r="E212" s="14">
        <v>13533</v>
      </c>
      <c r="F212" s="17">
        <v>7000</v>
      </c>
      <c r="G212" s="3" t="s">
        <v>14</v>
      </c>
      <c r="H212" s="3">
        <v>0.40587648318520109</v>
      </c>
    </row>
    <row r="213" spans="1:8" x14ac:dyDescent="0.25">
      <c r="A213" s="3" t="s">
        <v>226</v>
      </c>
      <c r="B213" s="3">
        <v>212</v>
      </c>
      <c r="C213" s="3" t="s">
        <v>6</v>
      </c>
      <c r="D213" s="3">
        <v>4</v>
      </c>
      <c r="E213" s="14">
        <v>20243</v>
      </c>
      <c r="F213" s="17">
        <v>10000</v>
      </c>
      <c r="G213" s="3" t="s">
        <v>4</v>
      </c>
      <c r="H213" s="3">
        <v>0.23791399836026628</v>
      </c>
    </row>
    <row r="214" spans="1:8" x14ac:dyDescent="0.25">
      <c r="A214" s="3" t="s">
        <v>227</v>
      </c>
      <c r="B214" s="3">
        <v>213</v>
      </c>
      <c r="C214" s="3" t="s">
        <v>13</v>
      </c>
      <c r="D214" s="3">
        <v>7</v>
      </c>
      <c r="E214" s="14">
        <v>13142</v>
      </c>
      <c r="F214" s="17">
        <v>8000</v>
      </c>
      <c r="G214" s="3" t="s">
        <v>14</v>
      </c>
      <c r="H214" s="3">
        <v>0.2987229411614617</v>
      </c>
    </row>
    <row r="215" spans="1:8" x14ac:dyDescent="0.25">
      <c r="A215" s="3" t="s">
        <v>228</v>
      </c>
      <c r="B215" s="3">
        <v>214</v>
      </c>
      <c r="C215" s="3" t="s">
        <v>6</v>
      </c>
      <c r="D215" s="3">
        <v>8</v>
      </c>
      <c r="E215" s="14">
        <v>26083</v>
      </c>
      <c r="F215" s="17">
        <v>40000</v>
      </c>
      <c r="G215" s="3" t="s">
        <v>45</v>
      </c>
      <c r="H215" s="3">
        <v>0.24902647165897107</v>
      </c>
    </row>
    <row r="216" spans="1:8" x14ac:dyDescent="0.25">
      <c r="A216" s="3" t="s">
        <v>229</v>
      </c>
      <c r="B216" s="3">
        <v>215</v>
      </c>
      <c r="C216" s="3" t="s">
        <v>3</v>
      </c>
      <c r="D216" s="3">
        <v>3</v>
      </c>
      <c r="E216" s="14">
        <v>9050</v>
      </c>
      <c r="F216" s="17">
        <v>7000</v>
      </c>
      <c r="G216" s="3" t="s">
        <v>10</v>
      </c>
      <c r="H216" s="3">
        <v>0.5982713566847403</v>
      </c>
    </row>
    <row r="217" spans="1:8" x14ac:dyDescent="0.25">
      <c r="A217" s="3" t="s">
        <v>230</v>
      </c>
      <c r="B217" s="3">
        <v>216</v>
      </c>
      <c r="C217" s="3" t="s">
        <v>24</v>
      </c>
      <c r="D217" s="3">
        <v>2</v>
      </c>
      <c r="E217" s="14">
        <v>10417</v>
      </c>
      <c r="F217" s="17">
        <v>5000</v>
      </c>
      <c r="G217" s="3" t="s">
        <v>7</v>
      </c>
      <c r="H217" s="3">
        <v>0.99827704390945338</v>
      </c>
    </row>
    <row r="218" spans="1:8" x14ac:dyDescent="0.25">
      <c r="A218" s="3" t="s">
        <v>231</v>
      </c>
      <c r="B218" s="3">
        <v>217</v>
      </c>
      <c r="C218" s="3" t="s">
        <v>6</v>
      </c>
      <c r="D218" s="3">
        <v>4</v>
      </c>
      <c r="E218" s="14">
        <v>9050</v>
      </c>
      <c r="F218" s="17">
        <v>7000</v>
      </c>
      <c r="G218" s="3" t="s">
        <v>14</v>
      </c>
      <c r="H218" s="3">
        <v>0.74515514102392622</v>
      </c>
    </row>
    <row r="219" spans="1:8" x14ac:dyDescent="0.25">
      <c r="A219" s="3" t="s">
        <v>232</v>
      </c>
      <c r="B219" s="3">
        <v>218</v>
      </c>
      <c r="C219" s="3" t="s">
        <v>6</v>
      </c>
      <c r="D219" s="3">
        <v>5</v>
      </c>
      <c r="E219" s="14">
        <v>7792</v>
      </c>
      <c r="F219" s="17">
        <v>10500</v>
      </c>
      <c r="G219" s="3" t="s">
        <v>10</v>
      </c>
      <c r="H219" s="3">
        <v>0.56913060815255978</v>
      </c>
    </row>
    <row r="220" spans="1:8" x14ac:dyDescent="0.25">
      <c r="A220" s="3" t="s">
        <v>233</v>
      </c>
      <c r="B220" s="3">
        <v>219</v>
      </c>
      <c r="C220" s="3" t="s">
        <v>6</v>
      </c>
      <c r="D220" s="3">
        <v>6</v>
      </c>
      <c r="E220" s="14">
        <v>19008</v>
      </c>
      <c r="F220" s="17">
        <v>9000</v>
      </c>
      <c r="G220" s="3" t="s">
        <v>14</v>
      </c>
      <c r="H220" s="3">
        <v>0.89487073438563425</v>
      </c>
    </row>
    <row r="221" spans="1:8" x14ac:dyDescent="0.25">
      <c r="A221" s="3" t="s">
        <v>234</v>
      </c>
      <c r="B221" s="3">
        <v>220</v>
      </c>
      <c r="C221" s="3" t="s">
        <v>13</v>
      </c>
      <c r="D221" s="3">
        <v>3</v>
      </c>
      <c r="E221" s="14">
        <v>11183</v>
      </c>
      <c r="F221" s="17">
        <v>4500</v>
      </c>
      <c r="G221" s="3" t="s">
        <v>7</v>
      </c>
      <c r="H221" s="3">
        <v>0.70579537739508524</v>
      </c>
    </row>
    <row r="222" spans="1:8" x14ac:dyDescent="0.25">
      <c r="A222" s="3" t="s">
        <v>235</v>
      </c>
      <c r="B222" s="3">
        <v>221</v>
      </c>
      <c r="C222" s="3" t="s">
        <v>6</v>
      </c>
      <c r="D222" s="3">
        <v>3</v>
      </c>
      <c r="E222" s="14">
        <v>19092</v>
      </c>
      <c r="F222" s="17">
        <v>13500</v>
      </c>
      <c r="G222" s="3" t="s">
        <v>10</v>
      </c>
      <c r="H222" s="3">
        <v>0.51735044328143809</v>
      </c>
    </row>
    <row r="223" spans="1:8" x14ac:dyDescent="0.25">
      <c r="A223" s="3" t="s">
        <v>236</v>
      </c>
      <c r="B223" s="3">
        <v>222</v>
      </c>
      <c r="C223" s="3" t="s">
        <v>6</v>
      </c>
      <c r="D223" s="3">
        <v>10</v>
      </c>
      <c r="E223" s="14">
        <v>13038</v>
      </c>
      <c r="F223" s="17">
        <v>26500</v>
      </c>
      <c r="G223" s="3" t="s">
        <v>4</v>
      </c>
      <c r="H223" s="3">
        <v>0.39689774305707748</v>
      </c>
    </row>
    <row r="224" spans="1:8" x14ac:dyDescent="0.25">
      <c r="A224" s="3" t="s">
        <v>237</v>
      </c>
      <c r="B224" s="3">
        <v>223</v>
      </c>
      <c r="C224" s="3" t="s">
        <v>24</v>
      </c>
      <c r="D224" s="3">
        <v>2</v>
      </c>
      <c r="E224" s="14">
        <v>4175</v>
      </c>
      <c r="F224" s="17">
        <v>4500</v>
      </c>
      <c r="G224" s="3" t="s">
        <v>7</v>
      </c>
      <c r="H224" s="3">
        <v>0.19360387302306992</v>
      </c>
    </row>
    <row r="225" spans="1:8" x14ac:dyDescent="0.25">
      <c r="A225" s="3" t="s">
        <v>238</v>
      </c>
      <c r="B225" s="3">
        <v>224</v>
      </c>
      <c r="C225" s="3" t="s">
        <v>6</v>
      </c>
      <c r="D225" s="3">
        <v>6</v>
      </c>
      <c r="E225" s="14">
        <v>17667</v>
      </c>
      <c r="F225" s="17">
        <v>12000</v>
      </c>
      <c r="G225" s="3" t="s">
        <v>4</v>
      </c>
      <c r="H225" s="3">
        <v>0.44249874327984184</v>
      </c>
    </row>
    <row r="226" spans="1:8" x14ac:dyDescent="0.25">
      <c r="A226" s="3" t="s">
        <v>239</v>
      </c>
      <c r="B226" s="3">
        <v>225</v>
      </c>
      <c r="C226" s="3" t="s">
        <v>3</v>
      </c>
      <c r="D226" s="3">
        <v>6</v>
      </c>
      <c r="E226" s="14">
        <v>17787</v>
      </c>
      <c r="F226" s="17">
        <v>14000</v>
      </c>
      <c r="G226" s="3" t="s">
        <v>4</v>
      </c>
      <c r="H226" s="3">
        <v>0.69348747907590602</v>
      </c>
    </row>
    <row r="227" spans="1:8" x14ac:dyDescent="0.25">
      <c r="A227" s="3" t="s">
        <v>240</v>
      </c>
      <c r="B227" s="3">
        <v>226</v>
      </c>
      <c r="C227" s="3" t="s">
        <v>13</v>
      </c>
      <c r="D227" s="3">
        <v>3</v>
      </c>
      <c r="E227" s="14">
        <v>11102</v>
      </c>
      <c r="F227" s="17">
        <v>7500</v>
      </c>
      <c r="G227" s="3" t="s">
        <v>10</v>
      </c>
      <c r="H227" s="3">
        <v>0.63385343614982126</v>
      </c>
    </row>
    <row r="228" spans="1:8" x14ac:dyDescent="0.25">
      <c r="A228" s="3" t="s">
        <v>241</v>
      </c>
      <c r="B228" s="3">
        <v>227</v>
      </c>
      <c r="C228" s="3" t="s">
        <v>24</v>
      </c>
      <c r="D228" s="3">
        <v>3</v>
      </c>
      <c r="E228" s="14">
        <v>7892</v>
      </c>
      <c r="F228" s="17">
        <v>6000</v>
      </c>
      <c r="G228" s="3" t="s">
        <v>10</v>
      </c>
      <c r="H228" s="3">
        <v>0.57309897653369768</v>
      </c>
    </row>
    <row r="229" spans="1:8" x14ac:dyDescent="0.25">
      <c r="A229" s="3" t="s">
        <v>242</v>
      </c>
      <c r="B229" s="3">
        <v>228</v>
      </c>
      <c r="C229" s="3" t="s">
        <v>6</v>
      </c>
      <c r="D229" s="3">
        <v>5</v>
      </c>
      <c r="E229" s="14">
        <v>19558</v>
      </c>
      <c r="F229" s="17">
        <v>8500</v>
      </c>
      <c r="G229" s="3" t="s">
        <v>4</v>
      </c>
      <c r="H229" s="3">
        <v>0.31688628083054038</v>
      </c>
    </row>
    <row r="230" spans="1:8" x14ac:dyDescent="0.25">
      <c r="A230" s="3" t="s">
        <v>243</v>
      </c>
      <c r="B230" s="3">
        <v>229</v>
      </c>
      <c r="C230" s="3" t="s">
        <v>24</v>
      </c>
      <c r="D230" s="3">
        <v>2</v>
      </c>
      <c r="E230" s="14">
        <v>40583</v>
      </c>
      <c r="F230" s="17">
        <v>3000</v>
      </c>
      <c r="G230" s="3" t="s">
        <v>45</v>
      </c>
      <c r="H230" s="3">
        <v>0.39182071694972065</v>
      </c>
    </row>
    <row r="231" spans="1:8" x14ac:dyDescent="0.25">
      <c r="A231" s="3" t="s">
        <v>244</v>
      </c>
      <c r="B231" s="3">
        <v>230</v>
      </c>
      <c r="C231" s="3" t="s">
        <v>6</v>
      </c>
      <c r="D231" s="3">
        <v>4</v>
      </c>
      <c r="E231" s="14">
        <v>8150</v>
      </c>
      <c r="F231" s="17">
        <v>7000</v>
      </c>
      <c r="G231" s="3" t="s">
        <v>7</v>
      </c>
      <c r="H231" s="3">
        <v>0.47676557347540571</v>
      </c>
    </row>
    <row r="232" spans="1:8" x14ac:dyDescent="0.25">
      <c r="A232" s="3" t="s">
        <v>245</v>
      </c>
      <c r="B232" s="3">
        <v>231</v>
      </c>
      <c r="C232" s="3" t="s">
        <v>6</v>
      </c>
      <c r="D232" s="3">
        <v>2</v>
      </c>
      <c r="E232" s="14">
        <v>10492</v>
      </c>
      <c r="F232" s="17">
        <v>6500</v>
      </c>
      <c r="G232" s="3" t="s">
        <v>4</v>
      </c>
      <c r="H232" s="3">
        <v>0.75361587197127589</v>
      </c>
    </row>
    <row r="233" spans="1:8" x14ac:dyDescent="0.25">
      <c r="A233" s="3" t="s">
        <v>246</v>
      </c>
      <c r="B233" s="3">
        <v>232</v>
      </c>
      <c r="C233" s="3" t="s">
        <v>6</v>
      </c>
      <c r="D233" s="3">
        <v>4</v>
      </c>
      <c r="E233" s="14">
        <v>11083</v>
      </c>
      <c r="F233" s="17">
        <v>7000</v>
      </c>
      <c r="G233" s="3" t="s">
        <v>34</v>
      </c>
      <c r="H233" s="3">
        <v>0.19843512752759773</v>
      </c>
    </row>
    <row r="234" spans="1:8" x14ac:dyDescent="0.25">
      <c r="A234" s="3" t="s">
        <v>247</v>
      </c>
      <c r="B234" s="3">
        <v>233</v>
      </c>
      <c r="C234" s="3" t="s">
        <v>3</v>
      </c>
      <c r="D234" s="3">
        <v>5</v>
      </c>
      <c r="E234" s="14">
        <v>19830</v>
      </c>
      <c r="F234" s="17">
        <v>15000</v>
      </c>
      <c r="G234" s="3" t="s">
        <v>4</v>
      </c>
      <c r="H234" s="3">
        <v>1.2975017211508844E-2</v>
      </c>
    </row>
    <row r="235" spans="1:8" x14ac:dyDescent="0.25">
      <c r="A235" s="3" t="s">
        <v>248</v>
      </c>
      <c r="B235" s="3">
        <v>234</v>
      </c>
      <c r="C235" s="3" t="s">
        <v>3</v>
      </c>
      <c r="D235" s="3">
        <v>3</v>
      </c>
      <c r="E235" s="14">
        <v>7725</v>
      </c>
      <c r="F235" s="17">
        <v>6500</v>
      </c>
      <c r="G235" s="3" t="s">
        <v>14</v>
      </c>
      <c r="H235" s="3">
        <v>0.22172846223412646</v>
      </c>
    </row>
    <row r="236" spans="1:8" x14ac:dyDescent="0.25">
      <c r="A236" s="3" t="s">
        <v>249</v>
      </c>
      <c r="B236" s="3">
        <v>235</v>
      </c>
      <c r="C236" s="3" t="s">
        <v>6</v>
      </c>
      <c r="D236" s="3">
        <v>4</v>
      </c>
      <c r="E236" s="14">
        <v>10058</v>
      </c>
      <c r="F236" s="17">
        <v>7250</v>
      </c>
      <c r="G236" s="3" t="s">
        <v>10</v>
      </c>
      <c r="H236" s="3">
        <v>0.73901218624199505</v>
      </c>
    </row>
    <row r="237" spans="1:8" x14ac:dyDescent="0.25">
      <c r="A237" s="3" t="s">
        <v>250</v>
      </c>
      <c r="B237" s="3">
        <v>236</v>
      </c>
      <c r="C237" s="3" t="s">
        <v>24</v>
      </c>
      <c r="D237" s="3">
        <v>4</v>
      </c>
      <c r="E237" s="14">
        <v>18242</v>
      </c>
      <c r="F237" s="17">
        <v>7500</v>
      </c>
      <c r="G237" s="3" t="s">
        <v>14</v>
      </c>
      <c r="H237" s="3">
        <v>0.3867106907944976</v>
      </c>
    </row>
    <row r="238" spans="1:8" x14ac:dyDescent="0.25">
      <c r="A238" s="3" t="s">
        <v>251</v>
      </c>
      <c r="B238" s="3">
        <v>237</v>
      </c>
      <c r="C238" s="3" t="s">
        <v>3</v>
      </c>
      <c r="D238" s="3">
        <v>4</v>
      </c>
      <c r="E238" s="14">
        <v>35667</v>
      </c>
      <c r="F238" s="17">
        <v>25000</v>
      </c>
      <c r="G238" s="3" t="s">
        <v>4</v>
      </c>
      <c r="H238" s="3">
        <v>0.4718050645243117</v>
      </c>
    </row>
    <row r="239" spans="1:8" x14ac:dyDescent="0.25">
      <c r="A239" s="3" t="s">
        <v>252</v>
      </c>
      <c r="B239" s="3">
        <v>238</v>
      </c>
      <c r="C239" s="3" t="s">
        <v>6</v>
      </c>
      <c r="D239" s="3">
        <v>4</v>
      </c>
      <c r="E239" s="14">
        <v>12792</v>
      </c>
      <c r="F239" s="17">
        <v>6000</v>
      </c>
      <c r="G239" s="3" t="s">
        <v>14</v>
      </c>
      <c r="H239" s="3">
        <v>6.2660498057273584E-2</v>
      </c>
    </row>
    <row r="240" spans="1:8" x14ac:dyDescent="0.25">
      <c r="A240" s="3" t="s">
        <v>253</v>
      </c>
      <c r="B240" s="3">
        <v>239</v>
      </c>
      <c r="C240" s="3" t="s">
        <v>3</v>
      </c>
      <c r="D240" s="3">
        <v>2</v>
      </c>
      <c r="E240" s="14">
        <v>4424</v>
      </c>
      <c r="F240" s="17">
        <v>4250</v>
      </c>
      <c r="G240" s="3" t="s">
        <v>20</v>
      </c>
      <c r="H240" s="3">
        <v>8.4191245138257598E-2</v>
      </c>
    </row>
    <row r="241" spans="1:8" x14ac:dyDescent="0.25">
      <c r="A241" s="3" t="s">
        <v>254</v>
      </c>
      <c r="B241" s="3">
        <v>240</v>
      </c>
      <c r="C241" s="3" t="s">
        <v>3</v>
      </c>
      <c r="D241" s="3">
        <v>1</v>
      </c>
      <c r="E241" s="14">
        <v>7875</v>
      </c>
      <c r="F241" s="17">
        <v>3000</v>
      </c>
      <c r="G241" s="3" t="s">
        <v>7</v>
      </c>
      <c r="H241" s="3">
        <v>0.9734655770593954</v>
      </c>
    </row>
    <row r="242" spans="1:8" x14ac:dyDescent="0.25">
      <c r="A242" s="3" t="s">
        <v>255</v>
      </c>
      <c r="B242" s="3">
        <v>241</v>
      </c>
      <c r="C242" s="3" t="s">
        <v>6</v>
      </c>
      <c r="D242" s="3">
        <v>4</v>
      </c>
      <c r="E242" s="14">
        <v>11271</v>
      </c>
      <c r="F242" s="17">
        <v>14500</v>
      </c>
      <c r="G242" s="3" t="s">
        <v>14</v>
      </c>
      <c r="H242" s="3">
        <v>0.83214195952395786</v>
      </c>
    </row>
    <row r="243" spans="1:8" x14ac:dyDescent="0.25">
      <c r="A243" s="3" t="s">
        <v>256</v>
      </c>
      <c r="B243" s="3">
        <v>242</v>
      </c>
      <c r="C243" s="3" t="s">
        <v>3</v>
      </c>
      <c r="D243" s="3">
        <v>2</v>
      </c>
      <c r="E243" s="14">
        <v>12608</v>
      </c>
      <c r="F243" s="17">
        <v>5200</v>
      </c>
      <c r="G243" s="3" t="s">
        <v>4</v>
      </c>
      <c r="H243" s="3">
        <v>0.17254905217258276</v>
      </c>
    </row>
    <row r="244" spans="1:8" x14ac:dyDescent="0.25">
      <c r="A244" s="3" t="s">
        <v>257</v>
      </c>
      <c r="B244" s="3">
        <v>243</v>
      </c>
      <c r="C244" s="3" t="s">
        <v>13</v>
      </c>
      <c r="D244" s="3">
        <v>5</v>
      </c>
      <c r="E244" s="14">
        <v>17583</v>
      </c>
      <c r="F244" s="17">
        <v>15000</v>
      </c>
      <c r="G244" s="3" t="s">
        <v>4</v>
      </c>
      <c r="H244" s="3">
        <v>0.68628348968747943</v>
      </c>
    </row>
    <row r="245" spans="1:8" x14ac:dyDescent="0.25">
      <c r="A245" s="3" t="s">
        <v>258</v>
      </c>
      <c r="B245" s="3">
        <v>244</v>
      </c>
      <c r="C245" s="3" t="s">
        <v>6</v>
      </c>
      <c r="D245" s="3">
        <v>4</v>
      </c>
      <c r="E245" s="14">
        <v>14883</v>
      </c>
      <c r="F245" s="17">
        <v>5000</v>
      </c>
      <c r="G245" s="3" t="s">
        <v>4</v>
      </c>
      <c r="H245" s="3">
        <v>0.67007038332594471</v>
      </c>
    </row>
    <row r="246" spans="1:8" x14ac:dyDescent="0.25">
      <c r="A246" s="3" t="s">
        <v>259</v>
      </c>
      <c r="B246" s="3">
        <v>245</v>
      </c>
      <c r="C246" s="3" t="s">
        <v>3</v>
      </c>
      <c r="D246" s="3">
        <v>9</v>
      </c>
      <c r="E246" s="14">
        <v>21283</v>
      </c>
      <c r="F246" s="17">
        <v>18500</v>
      </c>
      <c r="G246" s="3" t="s">
        <v>14</v>
      </c>
      <c r="H246" s="3">
        <v>0.14436904691648711</v>
      </c>
    </row>
    <row r="247" spans="1:8" x14ac:dyDescent="0.25">
      <c r="A247" s="3" t="s">
        <v>260</v>
      </c>
      <c r="B247" s="3">
        <v>246</v>
      </c>
      <c r="C247" s="3" t="s">
        <v>3</v>
      </c>
      <c r="D247" s="3">
        <v>2</v>
      </c>
      <c r="E247" s="14">
        <v>11885</v>
      </c>
      <c r="F247" s="17">
        <v>12000</v>
      </c>
      <c r="G247" s="3" t="s">
        <v>14</v>
      </c>
      <c r="H247" s="3">
        <v>0.27619281802979478</v>
      </c>
    </row>
    <row r="248" spans="1:8" x14ac:dyDescent="0.25">
      <c r="A248" s="3" t="s">
        <v>261</v>
      </c>
      <c r="B248" s="3">
        <v>247</v>
      </c>
      <c r="C248" s="3" t="s">
        <v>13</v>
      </c>
      <c r="D248" s="3">
        <v>5</v>
      </c>
      <c r="E248" s="14">
        <v>6767</v>
      </c>
      <c r="F248" s="17">
        <v>8000</v>
      </c>
      <c r="G248" s="3" t="s">
        <v>7</v>
      </c>
      <c r="H248" s="3">
        <v>0.16569393984231107</v>
      </c>
    </row>
    <row r="249" spans="1:8" x14ac:dyDescent="0.25">
      <c r="A249" s="3" t="s">
        <v>262</v>
      </c>
      <c r="B249" s="3">
        <v>248</v>
      </c>
      <c r="C249" s="3" t="s">
        <v>24</v>
      </c>
      <c r="D249" s="3">
        <v>4</v>
      </c>
      <c r="E249" s="14">
        <v>12850</v>
      </c>
      <c r="F249" s="17">
        <v>3000</v>
      </c>
      <c r="G249" s="3" t="s">
        <v>4</v>
      </c>
      <c r="H249" s="3">
        <v>0.8388695784066913</v>
      </c>
    </row>
    <row r="250" spans="1:8" x14ac:dyDescent="0.25">
      <c r="A250" s="3" t="s">
        <v>263</v>
      </c>
      <c r="B250" s="3">
        <v>249</v>
      </c>
      <c r="C250" s="3" t="s">
        <v>24</v>
      </c>
      <c r="D250" s="3">
        <v>6</v>
      </c>
      <c r="E250" s="14">
        <v>14175</v>
      </c>
      <c r="F250" s="17">
        <v>10000</v>
      </c>
      <c r="G250" s="3" t="s">
        <v>7</v>
      </c>
      <c r="H250" s="3">
        <v>0.69934547043867845</v>
      </c>
    </row>
    <row r="251" spans="1:8" x14ac:dyDescent="0.25">
      <c r="A251" s="3" t="s">
        <v>264</v>
      </c>
      <c r="B251" s="3">
        <v>250</v>
      </c>
      <c r="C251" s="3" t="s">
        <v>6</v>
      </c>
      <c r="D251" s="3">
        <v>2</v>
      </c>
      <c r="E251" s="14">
        <v>6317</v>
      </c>
      <c r="F251" s="17">
        <v>1800</v>
      </c>
      <c r="G251" s="3" t="s">
        <v>18</v>
      </c>
      <c r="H251" s="3">
        <v>0.28983940228752481</v>
      </c>
    </row>
    <row r="252" spans="1:8" x14ac:dyDescent="0.25">
      <c r="A252" s="3" t="s">
        <v>265</v>
      </c>
      <c r="B252" s="3">
        <v>251</v>
      </c>
      <c r="C252" s="3" t="s">
        <v>3</v>
      </c>
      <c r="D252" s="3">
        <v>3</v>
      </c>
      <c r="E252" s="14">
        <v>9074</v>
      </c>
      <c r="F252" s="17">
        <v>12605</v>
      </c>
      <c r="G252" s="3" t="s">
        <v>18</v>
      </c>
      <c r="H252" s="3">
        <v>0.34758659614373988</v>
      </c>
    </row>
    <row r="253" spans="1:8" x14ac:dyDescent="0.25">
      <c r="A253" s="3" t="s">
        <v>266</v>
      </c>
      <c r="B253" s="3">
        <v>252</v>
      </c>
      <c r="C253" s="3" t="s">
        <v>3</v>
      </c>
      <c r="D253" s="3">
        <v>6</v>
      </c>
      <c r="E253" s="14">
        <v>16242</v>
      </c>
      <c r="F253" s="17">
        <v>12600</v>
      </c>
      <c r="G253" s="3" t="s">
        <v>4</v>
      </c>
      <c r="H253" s="3">
        <v>0.75856690493137324</v>
      </c>
    </row>
    <row r="254" spans="1:8" x14ac:dyDescent="0.25">
      <c r="A254" s="3" t="s">
        <v>267</v>
      </c>
      <c r="B254" s="3">
        <v>253</v>
      </c>
      <c r="C254" s="3" t="s">
        <v>6</v>
      </c>
      <c r="D254" s="3">
        <v>4</v>
      </c>
      <c r="E254" s="14">
        <v>8633</v>
      </c>
      <c r="F254" s="17">
        <v>8750</v>
      </c>
      <c r="G254" s="3" t="s">
        <v>10</v>
      </c>
      <c r="H254" s="3">
        <v>0.65085126806694638</v>
      </c>
    </row>
  </sheetData>
  <sortState ref="A2:H254">
    <sortCondition ref="B2:B25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G32" sqref="G32"/>
    </sheetView>
  </sheetViews>
  <sheetFormatPr defaultRowHeight="15" x14ac:dyDescent="0.25"/>
  <cols>
    <col min="2" max="2" width="11.28515625" customWidth="1"/>
    <col min="3" max="3" width="12.42578125" customWidth="1"/>
    <col min="6" max="6" width="11.85546875" customWidth="1"/>
    <col min="7" max="7" width="13.42578125" customWidth="1"/>
    <col min="8" max="8" width="15.7109375" customWidth="1"/>
  </cols>
  <sheetData>
    <row r="1" spans="1:8" ht="30" x14ac:dyDescent="0.25">
      <c r="A1" s="6" t="s">
        <v>0</v>
      </c>
      <c r="B1" s="7" t="s">
        <v>316</v>
      </c>
      <c r="C1" s="6" t="s">
        <v>291</v>
      </c>
      <c r="D1" s="6" t="s">
        <v>290</v>
      </c>
      <c r="E1" s="6" t="s">
        <v>292</v>
      </c>
      <c r="F1" s="6" t="s">
        <v>293</v>
      </c>
      <c r="G1" s="6" t="s">
        <v>322</v>
      </c>
      <c r="H1" s="33" t="s">
        <v>283</v>
      </c>
    </row>
    <row r="2" spans="1:8" x14ac:dyDescent="0.25">
      <c r="A2" s="3" t="s">
        <v>89</v>
      </c>
      <c r="B2" s="8">
        <v>75</v>
      </c>
      <c r="C2" s="3" t="s">
        <v>13</v>
      </c>
      <c r="D2" s="3">
        <v>4</v>
      </c>
      <c r="E2" s="3">
        <v>10158</v>
      </c>
      <c r="F2" s="3">
        <v>9700</v>
      </c>
      <c r="G2" s="3" t="s">
        <v>4</v>
      </c>
      <c r="H2" s="3">
        <v>9.8277536287008083E-3</v>
      </c>
    </row>
    <row r="3" spans="1:8" x14ac:dyDescent="0.25">
      <c r="A3" s="3" t="s">
        <v>247</v>
      </c>
      <c r="B3" s="8">
        <v>233</v>
      </c>
      <c r="C3" s="3" t="s">
        <v>3</v>
      </c>
      <c r="D3" s="3">
        <v>5</v>
      </c>
      <c r="E3" s="3">
        <v>19830</v>
      </c>
      <c r="F3" s="3">
        <v>15000</v>
      </c>
      <c r="G3" s="3" t="s">
        <v>4</v>
      </c>
      <c r="H3" s="3">
        <v>1.2975017211508844E-2</v>
      </c>
    </row>
    <row r="4" spans="1:8" x14ac:dyDescent="0.25">
      <c r="A4" s="3" t="s">
        <v>70</v>
      </c>
      <c r="B4" s="8">
        <v>56</v>
      </c>
      <c r="C4" s="3" t="s">
        <v>24</v>
      </c>
      <c r="D4" s="3">
        <v>4</v>
      </c>
      <c r="E4" s="3">
        <v>9783</v>
      </c>
      <c r="F4" s="3">
        <v>7000</v>
      </c>
      <c r="G4" s="3" t="s">
        <v>14</v>
      </c>
      <c r="H4" s="3">
        <v>2.5070650913696868E-2</v>
      </c>
    </row>
    <row r="5" spans="1:8" x14ac:dyDescent="0.25">
      <c r="A5" s="3" t="s">
        <v>16</v>
      </c>
      <c r="B5" s="8">
        <v>8</v>
      </c>
      <c r="C5" s="3" t="s">
        <v>6</v>
      </c>
      <c r="D5" s="3">
        <v>4</v>
      </c>
      <c r="E5" s="3">
        <v>17933</v>
      </c>
      <c r="F5" s="3">
        <v>13600</v>
      </c>
      <c r="G5" s="3" t="s">
        <v>10</v>
      </c>
      <c r="H5" s="3">
        <v>2.6357764133244199E-2</v>
      </c>
    </row>
    <row r="6" spans="1:8" x14ac:dyDescent="0.25">
      <c r="A6" s="3" t="s">
        <v>187</v>
      </c>
      <c r="B6" s="8">
        <v>173</v>
      </c>
      <c r="C6" s="3" t="s">
        <v>13</v>
      </c>
      <c r="D6" s="3">
        <v>9</v>
      </c>
      <c r="E6" s="3">
        <v>10900</v>
      </c>
      <c r="F6" s="3">
        <v>12000</v>
      </c>
      <c r="G6" s="3" t="s">
        <v>14</v>
      </c>
      <c r="H6" s="3">
        <v>3.3688855621817448E-2</v>
      </c>
    </row>
    <row r="7" spans="1:8" x14ac:dyDescent="0.25">
      <c r="A7" s="3" t="s">
        <v>86</v>
      </c>
      <c r="B7" s="8">
        <v>72</v>
      </c>
      <c r="C7" s="3" t="s">
        <v>3</v>
      </c>
      <c r="D7" s="3">
        <v>2</v>
      </c>
      <c r="E7" s="3">
        <v>17237</v>
      </c>
      <c r="F7" s="3">
        <v>7540</v>
      </c>
      <c r="G7" s="3" t="s">
        <v>45</v>
      </c>
      <c r="H7" s="3">
        <v>3.9764197402702428E-2</v>
      </c>
    </row>
    <row r="8" spans="1:8" x14ac:dyDescent="0.25">
      <c r="A8" s="3" t="s">
        <v>164</v>
      </c>
      <c r="B8" s="8">
        <v>150</v>
      </c>
      <c r="C8" s="3" t="s">
        <v>3</v>
      </c>
      <c r="D8" s="3">
        <v>3</v>
      </c>
      <c r="E8" s="3">
        <v>14083</v>
      </c>
      <c r="F8" s="3">
        <v>7500</v>
      </c>
      <c r="G8" s="3" t="s">
        <v>4</v>
      </c>
      <c r="H8" s="3">
        <v>4.4829296587803991E-2</v>
      </c>
    </row>
    <row r="9" spans="1:8" x14ac:dyDescent="0.25">
      <c r="A9" s="3" t="s">
        <v>200</v>
      </c>
      <c r="B9" s="8">
        <v>186</v>
      </c>
      <c r="C9" s="3" t="s">
        <v>3</v>
      </c>
      <c r="D9" s="3">
        <v>3</v>
      </c>
      <c r="E9" s="3">
        <v>7201</v>
      </c>
      <c r="F9" s="3">
        <v>5400</v>
      </c>
      <c r="G9" s="3" t="s">
        <v>7</v>
      </c>
      <c r="H9" s="3">
        <v>4.9299301431075637E-2</v>
      </c>
    </row>
    <row r="10" spans="1:8" x14ac:dyDescent="0.25">
      <c r="A10" s="3" t="s">
        <v>189</v>
      </c>
      <c r="B10" s="8">
        <v>175</v>
      </c>
      <c r="C10" s="3" t="s">
        <v>3</v>
      </c>
      <c r="D10" s="3">
        <v>4</v>
      </c>
      <c r="E10" s="3">
        <v>6167</v>
      </c>
      <c r="F10" s="3">
        <v>10000</v>
      </c>
      <c r="G10" s="3" t="s">
        <v>10</v>
      </c>
      <c r="H10" s="3">
        <v>6.2541835650685829E-2</v>
      </c>
    </row>
    <row r="11" spans="1:8" x14ac:dyDescent="0.25">
      <c r="A11" s="3" t="s">
        <v>252</v>
      </c>
      <c r="B11" s="8">
        <v>238</v>
      </c>
      <c r="C11" s="3" t="s">
        <v>6</v>
      </c>
      <c r="D11" s="3">
        <v>4</v>
      </c>
      <c r="E11" s="3">
        <v>12792</v>
      </c>
      <c r="F11" s="3">
        <v>6000</v>
      </c>
      <c r="G11" s="3" t="s">
        <v>14</v>
      </c>
      <c r="H11" s="3">
        <v>6.2660498057273584E-2</v>
      </c>
    </row>
    <row r="12" spans="1:8" x14ac:dyDescent="0.25">
      <c r="A12" s="3" t="s">
        <v>74</v>
      </c>
      <c r="B12" s="8">
        <v>60</v>
      </c>
      <c r="C12" s="3" t="s">
        <v>6</v>
      </c>
      <c r="D12" s="3">
        <v>3</v>
      </c>
      <c r="E12" s="3">
        <v>8025</v>
      </c>
      <c r="F12" s="3">
        <v>13500</v>
      </c>
      <c r="G12" s="3" t="s">
        <v>45</v>
      </c>
      <c r="H12" s="3">
        <v>6.6453197590920943E-2</v>
      </c>
    </row>
    <row r="13" spans="1:8" x14ac:dyDescent="0.25">
      <c r="A13" s="3" t="s">
        <v>103</v>
      </c>
      <c r="B13" s="8">
        <v>89</v>
      </c>
      <c r="C13" s="3" t="s">
        <v>3</v>
      </c>
      <c r="D13" s="3">
        <v>5</v>
      </c>
      <c r="E13" s="3">
        <v>11333</v>
      </c>
      <c r="F13" s="3">
        <v>9500</v>
      </c>
      <c r="G13" s="3" t="s">
        <v>14</v>
      </c>
      <c r="H13" s="3">
        <v>7.2033082628006229E-2</v>
      </c>
    </row>
    <row r="14" spans="1:8" x14ac:dyDescent="0.25">
      <c r="A14" s="3" t="s">
        <v>79</v>
      </c>
      <c r="B14" s="8">
        <v>65</v>
      </c>
      <c r="C14" s="3" t="s">
        <v>24</v>
      </c>
      <c r="D14" s="3">
        <v>4</v>
      </c>
      <c r="E14" s="3">
        <v>9523</v>
      </c>
      <c r="F14" s="3">
        <v>3870</v>
      </c>
      <c r="G14" s="3" t="s">
        <v>14</v>
      </c>
      <c r="H14" s="3">
        <v>7.2345701715220145E-2</v>
      </c>
    </row>
    <row r="15" spans="1:8" x14ac:dyDescent="0.25">
      <c r="A15" s="3" t="s">
        <v>77</v>
      </c>
      <c r="B15" s="8">
        <v>63</v>
      </c>
      <c r="C15" s="3" t="s">
        <v>6</v>
      </c>
      <c r="D15" s="3">
        <v>2</v>
      </c>
      <c r="E15" s="3">
        <v>8360</v>
      </c>
      <c r="F15" s="3">
        <v>5500</v>
      </c>
      <c r="G15" s="3" t="s">
        <v>14</v>
      </c>
      <c r="H15" s="3">
        <v>7.9877261274874045E-2</v>
      </c>
    </row>
    <row r="16" spans="1:8" x14ac:dyDescent="0.25">
      <c r="A16" s="3" t="s">
        <v>112</v>
      </c>
      <c r="B16" s="8">
        <v>98</v>
      </c>
      <c r="C16" s="3" t="s">
        <v>3</v>
      </c>
      <c r="D16" s="3">
        <v>3</v>
      </c>
      <c r="E16" s="3">
        <v>7175</v>
      </c>
      <c r="F16" s="3">
        <v>4500</v>
      </c>
      <c r="G16" s="3" t="s">
        <v>10</v>
      </c>
      <c r="H16" s="3">
        <v>8.3782022458752881E-2</v>
      </c>
    </row>
    <row r="17" spans="1:8" x14ac:dyDescent="0.25">
      <c r="A17" s="3" t="s">
        <v>253</v>
      </c>
      <c r="B17" s="8">
        <v>239</v>
      </c>
      <c r="C17" s="3" t="s">
        <v>3</v>
      </c>
      <c r="D17" s="3">
        <v>2</v>
      </c>
      <c r="E17" s="3">
        <v>4424</v>
      </c>
      <c r="F17" s="3">
        <v>4250</v>
      </c>
      <c r="G17" s="3" t="s">
        <v>20</v>
      </c>
      <c r="H17" s="3">
        <v>8.4191245138257598E-2</v>
      </c>
    </row>
    <row r="18" spans="1:8" x14ac:dyDescent="0.25">
      <c r="A18" s="3" t="s">
        <v>41</v>
      </c>
      <c r="B18" s="8">
        <v>29</v>
      </c>
      <c r="C18" s="3" t="s">
        <v>3</v>
      </c>
      <c r="D18" s="3">
        <v>1</v>
      </c>
      <c r="E18" s="3">
        <v>8272</v>
      </c>
      <c r="F18" s="3">
        <v>4500</v>
      </c>
      <c r="G18" s="3" t="s">
        <v>42</v>
      </c>
      <c r="H18" s="3">
        <v>8.9694774183883275E-2</v>
      </c>
    </row>
    <row r="19" spans="1:8" x14ac:dyDescent="0.25">
      <c r="A19" s="3" t="s">
        <v>17</v>
      </c>
      <c r="B19" s="8">
        <v>9</v>
      </c>
      <c r="C19" s="3" t="s">
        <v>6</v>
      </c>
      <c r="D19" s="3">
        <v>1</v>
      </c>
      <c r="E19" s="3">
        <v>2467</v>
      </c>
      <c r="F19" s="3">
        <v>2000</v>
      </c>
      <c r="G19" s="3" t="s">
        <v>18</v>
      </c>
      <c r="H19" s="3">
        <v>9.0376453902620391E-2</v>
      </c>
    </row>
    <row r="20" spans="1:8" x14ac:dyDescent="0.25">
      <c r="A20" s="3" t="s">
        <v>206</v>
      </c>
      <c r="B20" s="8">
        <v>192</v>
      </c>
      <c r="C20" s="3" t="s">
        <v>24</v>
      </c>
      <c r="D20" s="3">
        <v>2</v>
      </c>
      <c r="E20" s="3">
        <v>4883</v>
      </c>
      <c r="F20" s="3">
        <v>5000</v>
      </c>
      <c r="G20" s="3" t="s">
        <v>10</v>
      </c>
      <c r="H20" s="3">
        <v>9.2927588853651266E-2</v>
      </c>
    </row>
    <row r="21" spans="1:8" x14ac:dyDescent="0.25">
      <c r="A21" s="3" t="s">
        <v>135</v>
      </c>
      <c r="B21" s="8">
        <v>121</v>
      </c>
      <c r="C21" s="3" t="s">
        <v>6</v>
      </c>
      <c r="D21" s="3">
        <v>6</v>
      </c>
      <c r="E21" s="3">
        <v>8800</v>
      </c>
      <c r="F21" s="3">
        <v>8000</v>
      </c>
      <c r="G21" s="3" t="s">
        <v>7</v>
      </c>
      <c r="H21" s="3">
        <v>9.5238599860102857E-2</v>
      </c>
    </row>
    <row r="22" spans="1:8" x14ac:dyDescent="0.25">
      <c r="A22" s="3" t="s">
        <v>184</v>
      </c>
      <c r="B22" s="8">
        <v>170</v>
      </c>
      <c r="C22" s="3" t="s">
        <v>3</v>
      </c>
      <c r="D22" s="3">
        <v>4</v>
      </c>
      <c r="E22" s="3">
        <v>10217</v>
      </c>
      <c r="F22" s="3">
        <v>23800</v>
      </c>
      <c r="G22" s="3" t="s">
        <v>14</v>
      </c>
      <c r="H22" s="3">
        <v>9.8057475303279906E-2</v>
      </c>
    </row>
    <row r="23" spans="1:8" x14ac:dyDescent="0.25">
      <c r="A23" s="3" t="s">
        <v>180</v>
      </c>
      <c r="B23" s="8">
        <v>166</v>
      </c>
      <c r="C23" s="3" t="s">
        <v>6</v>
      </c>
      <c r="D23" s="3">
        <v>2</v>
      </c>
      <c r="E23" s="3">
        <v>5215</v>
      </c>
      <c r="F23" s="3">
        <v>5000</v>
      </c>
      <c r="G23" s="3" t="s">
        <v>45</v>
      </c>
      <c r="H23" s="3">
        <v>0.10540922254165996</v>
      </c>
    </row>
    <row r="24" spans="1:8" x14ac:dyDescent="0.25">
      <c r="A24" s="3" t="s">
        <v>218</v>
      </c>
      <c r="B24" s="8">
        <v>204</v>
      </c>
      <c r="C24" s="3" t="s">
        <v>24</v>
      </c>
      <c r="D24" s="3">
        <v>3</v>
      </c>
      <c r="E24" s="3">
        <v>7575</v>
      </c>
      <c r="F24" s="3">
        <v>4500</v>
      </c>
      <c r="G24" s="3" t="s">
        <v>10</v>
      </c>
      <c r="H24" s="3">
        <v>0.11348881840926139</v>
      </c>
    </row>
    <row r="25" spans="1:8" x14ac:dyDescent="0.25">
      <c r="A25" s="3" t="s">
        <v>62</v>
      </c>
      <c r="B25" s="8">
        <v>48</v>
      </c>
      <c r="C25" s="3" t="s">
        <v>24</v>
      </c>
      <c r="D25" s="3">
        <v>5</v>
      </c>
      <c r="E25" s="3">
        <v>11602</v>
      </c>
      <c r="F25" s="3">
        <v>7000</v>
      </c>
      <c r="G25" s="3" t="s">
        <v>14</v>
      </c>
      <c r="H25" s="3">
        <v>0.11874357413205383</v>
      </c>
    </row>
    <row r="26" spans="1:8" x14ac:dyDescent="0.25">
      <c r="A26" s="3" t="s">
        <v>115</v>
      </c>
      <c r="B26" s="8">
        <v>101</v>
      </c>
      <c r="C26" s="3" t="s">
        <v>13</v>
      </c>
      <c r="D26" s="3">
        <v>6</v>
      </c>
      <c r="E26" s="3">
        <v>31223</v>
      </c>
      <c r="F26" s="3">
        <v>27000</v>
      </c>
      <c r="G26" s="3" t="s">
        <v>14</v>
      </c>
      <c r="H26" s="3">
        <v>0.12396152263436822</v>
      </c>
    </row>
    <row r="28" spans="1:8" x14ac:dyDescent="0.25">
      <c r="B28" s="17" t="s">
        <v>324</v>
      </c>
      <c r="C28">
        <v>253</v>
      </c>
    </row>
    <row r="29" spans="1:8" x14ac:dyDescent="0.25">
      <c r="B29" s="17" t="s">
        <v>325</v>
      </c>
      <c r="C29">
        <v>25</v>
      </c>
    </row>
    <row r="30" spans="1:8" x14ac:dyDescent="0.25">
      <c r="A30" s="3"/>
      <c r="B30" s="23" t="s">
        <v>326</v>
      </c>
    </row>
    <row r="31" spans="1:8" ht="45" x14ac:dyDescent="0.25">
      <c r="A31" s="1"/>
      <c r="B31" s="24" t="s">
        <v>327</v>
      </c>
      <c r="C31" s="24" t="s">
        <v>332</v>
      </c>
      <c r="D31" s="24" t="s">
        <v>328</v>
      </c>
      <c r="E31" s="24" t="s">
        <v>330</v>
      </c>
      <c r="F31" s="24" t="s">
        <v>329</v>
      </c>
      <c r="G31" s="24" t="s">
        <v>331</v>
      </c>
    </row>
    <row r="32" spans="1:8" x14ac:dyDescent="0.25">
      <c r="B32">
        <f>SUM(D2:D26)*C28/C29</f>
        <v>920.92</v>
      </c>
      <c r="C32">
        <f>SUM(D2:D26)/C29</f>
        <v>3.64</v>
      </c>
      <c r="D32" s="16">
        <f>SUM(E2:E26)/C29</f>
        <v>10607.12</v>
      </c>
      <c r="E32" s="16">
        <f>SUM(E2:E26) / SUM(D2:D26)</f>
        <v>2914.0439560439559</v>
      </c>
      <c r="F32" s="16">
        <f>SUM(F2:F26)/SUM(D2:D26)</f>
        <v>2435.8241758241757</v>
      </c>
      <c r="G32">
        <f>COUNTIF(C2:C26,1)/25</f>
        <v>0.12</v>
      </c>
    </row>
    <row r="33" spans="3:3" x14ac:dyDescent="0.25">
      <c r="C33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1" topLeftCell="A2" activePane="bottomLeft" state="frozen"/>
      <selection activeCell="B1" sqref="B1"/>
      <selection pane="bottomLeft" activeCell="K32" sqref="K32"/>
    </sheetView>
  </sheetViews>
  <sheetFormatPr defaultRowHeight="15" x14ac:dyDescent="0.25"/>
  <cols>
    <col min="1" max="1" width="10.85546875" customWidth="1"/>
    <col min="5" max="5" width="13.28515625" customWidth="1"/>
    <col min="6" max="6" width="16" customWidth="1"/>
    <col min="8" max="8" width="10.28515625" bestFit="1" customWidth="1"/>
    <col min="9" max="9" width="10.140625" bestFit="1" customWidth="1"/>
    <col min="11" max="11" width="12.85546875" customWidth="1"/>
  </cols>
  <sheetData>
    <row r="1" spans="1:11" ht="30" x14ac:dyDescent="0.25">
      <c r="A1" s="33" t="s">
        <v>268</v>
      </c>
      <c r="B1" s="33" t="s">
        <v>269</v>
      </c>
      <c r="C1" s="33" t="s">
        <v>270</v>
      </c>
      <c r="D1" s="33" t="s">
        <v>271</v>
      </c>
      <c r="E1" s="34" t="s">
        <v>0</v>
      </c>
      <c r="F1" s="35" t="s">
        <v>316</v>
      </c>
      <c r="G1" s="34" t="s">
        <v>291</v>
      </c>
      <c r="H1" s="34" t="s">
        <v>290</v>
      </c>
      <c r="I1" s="34" t="s">
        <v>292</v>
      </c>
      <c r="J1" s="34" t="s">
        <v>293</v>
      </c>
      <c r="K1" s="34" t="s">
        <v>322</v>
      </c>
    </row>
    <row r="2" spans="1:11" x14ac:dyDescent="0.25">
      <c r="A2" s="3">
        <v>1</v>
      </c>
      <c r="B2" s="3">
        <f xml:space="preserve"> INT(253/25)</f>
        <v>10</v>
      </c>
      <c r="C2" s="3">
        <v>8</v>
      </c>
      <c r="D2" s="3">
        <f xml:space="preserve"> $C$2 + (A2 - 1) * $B$2</f>
        <v>8</v>
      </c>
      <c r="E2" s="3" t="str" cm="1">
        <f t="array" ref="E2" xml:space="preserve"> INDEX(Popu_data!A$2:A$254, D2)</f>
        <v>12279_2_01</v>
      </c>
      <c r="F2" s="8" cm="1">
        <f t="array" ref="F2" xml:space="preserve"> INDEX(Popu_data!B$2:B$254, D2)</f>
        <v>8</v>
      </c>
      <c r="G2" s="3" t="str" cm="1">
        <f t="array" ref="G2" xml:space="preserve"> INDEX(Popu_data!C$2:C$254, D2)</f>
        <v>3</v>
      </c>
      <c r="H2" s="3" cm="1">
        <f t="array" ref="H2" xml:space="preserve"> INDEX(Popu_data!D$2:D$254, D2)</f>
        <v>4</v>
      </c>
      <c r="I2" s="3" cm="1">
        <f t="array" ref="I2" xml:space="preserve"> INDEX(Popu_data!E$2:E$254, D2)</f>
        <v>17933</v>
      </c>
      <c r="J2" s="3" cm="1">
        <f t="array" ref="J2" xml:space="preserve"> INDEX(Popu_data!F$2:F$254, D2)</f>
        <v>13600</v>
      </c>
      <c r="K2" s="3" t="str" cm="1">
        <f t="array" ref="K2" xml:space="preserve"> INDEX(Popu_data!G$2:G$254, D2)</f>
        <v>08</v>
      </c>
    </row>
    <row r="3" spans="1:11" x14ac:dyDescent="0.25">
      <c r="A3" s="3">
        <v>2</v>
      </c>
      <c r="B3" s="3">
        <f t="shared" ref="B3:B26" si="0" xml:space="preserve"> INT(253/25)</f>
        <v>10</v>
      </c>
      <c r="C3" s="3">
        <v>8</v>
      </c>
      <c r="D3" s="3">
        <f t="shared" ref="D3:D26" si="1" xml:space="preserve"> $C$2 + (A3 - 1) * $B$2</f>
        <v>18</v>
      </c>
      <c r="E3" s="3" t="str" cm="1">
        <f t="array" ref="E3" xml:space="preserve"> INDEX(Popu_data!A$2:A$254, D3)</f>
        <v>22510_1_01</v>
      </c>
      <c r="F3" s="8" cm="1">
        <f t="array" ref="F3" xml:space="preserve"> INDEX(Popu_data!B$2:B$254, D3)</f>
        <v>18</v>
      </c>
      <c r="G3" s="3" t="str" cm="1">
        <f t="array" ref="G3" xml:space="preserve"> INDEX(Popu_data!C$2:C$254, D3)</f>
        <v>3</v>
      </c>
      <c r="H3" s="3" cm="1">
        <f t="array" ref="H3" xml:space="preserve"> INDEX(Popu_data!D$2:D$254, D3)</f>
        <v>14</v>
      </c>
      <c r="I3" s="3" cm="1">
        <f t="array" ref="I3" xml:space="preserve"> INDEX(Popu_data!E$2:E$254, D3)</f>
        <v>19985</v>
      </c>
      <c r="J3" s="3" cm="1">
        <f t="array" ref="J3" xml:space="preserve"> INDEX(Popu_data!F$2:F$254, D3)</f>
        <v>10740</v>
      </c>
      <c r="K3" s="3" t="str" cm="1">
        <f t="array" ref="K3" xml:space="preserve"> INDEX(Popu_data!G$2:G$254, D3)</f>
        <v>12</v>
      </c>
    </row>
    <row r="4" spans="1:11" x14ac:dyDescent="0.25">
      <c r="A4" s="3">
        <v>3</v>
      </c>
      <c r="B4" s="3">
        <f t="shared" si="0"/>
        <v>10</v>
      </c>
      <c r="C4" s="3">
        <v>8</v>
      </c>
      <c r="D4" s="3">
        <f t="shared" si="1"/>
        <v>28</v>
      </c>
      <c r="E4" s="3" t="str" cm="1">
        <f t="array" ref="E4" xml:space="preserve"> INDEX(Popu_data!A$2:A$254, D4)</f>
        <v>21507_4_01</v>
      </c>
      <c r="F4" s="8" cm="1">
        <f t="array" ref="F4" xml:space="preserve"> INDEX(Popu_data!B$2:B$254, D4)</f>
        <v>28</v>
      </c>
      <c r="G4" s="3" t="str" cm="1">
        <f t="array" ref="G4" xml:space="preserve"> INDEX(Popu_data!C$2:C$254, D4)</f>
        <v>2</v>
      </c>
      <c r="H4" s="3" cm="1">
        <f t="array" ref="H4" xml:space="preserve"> INDEX(Popu_data!D$2:D$254, D4)</f>
        <v>1</v>
      </c>
      <c r="I4" s="3" cm="1">
        <f t="array" ref="I4" xml:space="preserve"> INDEX(Popu_data!E$2:E$254, D4)</f>
        <v>3817</v>
      </c>
      <c r="J4" s="3" cm="1">
        <f t="array" ref="J4" xml:space="preserve"> INDEX(Popu_data!F$2:F$254, D4)</f>
        <v>2000</v>
      </c>
      <c r="K4" s="3" t="str" cm="1">
        <f t="array" ref="K4" xml:space="preserve"> INDEX(Popu_data!G$2:G$254, D4)</f>
        <v>07</v>
      </c>
    </row>
    <row r="5" spans="1:11" x14ac:dyDescent="0.25">
      <c r="A5" s="3">
        <v>4</v>
      </c>
      <c r="B5" s="3">
        <f t="shared" si="0"/>
        <v>10</v>
      </c>
      <c r="C5" s="3">
        <v>8</v>
      </c>
      <c r="D5" s="3">
        <f t="shared" si="1"/>
        <v>38</v>
      </c>
      <c r="E5" s="3" t="str" cm="1">
        <f t="array" ref="E5" xml:space="preserve"> INDEX(Popu_data!A$2:A$254, D5)</f>
        <v>24519_2_01</v>
      </c>
      <c r="F5" s="8" cm="1">
        <f t="array" ref="F5" xml:space="preserve"> INDEX(Popu_data!B$2:B$254, D5)</f>
        <v>38</v>
      </c>
      <c r="G5" s="3" t="str" cm="1">
        <f t="array" ref="G5" xml:space="preserve"> INDEX(Popu_data!C$2:C$254, D5)</f>
        <v>3</v>
      </c>
      <c r="H5" s="3" cm="1">
        <f t="array" ref="H5" xml:space="preserve"> INDEX(Popu_data!D$2:D$254, D5)</f>
        <v>3</v>
      </c>
      <c r="I5" s="3" cm="1">
        <f t="array" ref="I5" xml:space="preserve"> INDEX(Popu_data!E$2:E$254, D5)</f>
        <v>23750</v>
      </c>
      <c r="J5" s="3" cm="1">
        <f t="array" ref="J5" xml:space="preserve"> INDEX(Popu_data!F$2:F$254, D5)</f>
        <v>15000</v>
      </c>
      <c r="K5" s="3" t="str" cm="1">
        <f t="array" ref="K5" xml:space="preserve"> INDEX(Popu_data!G$2:G$254, D5)</f>
        <v>12</v>
      </c>
    </row>
    <row r="6" spans="1:11" x14ac:dyDescent="0.25">
      <c r="A6" s="3">
        <v>5</v>
      </c>
      <c r="B6" s="3">
        <f t="shared" si="0"/>
        <v>10</v>
      </c>
      <c r="C6" s="3">
        <v>8</v>
      </c>
      <c r="D6" s="3">
        <f t="shared" si="1"/>
        <v>48</v>
      </c>
      <c r="E6" s="3" t="str" cm="1">
        <f t="array" ref="E6" xml:space="preserve"> INDEX(Popu_data!A$2:A$254, D6)</f>
        <v>15997_2_02</v>
      </c>
      <c r="F6" s="8" cm="1">
        <f t="array" ref="F6" xml:space="preserve"> INDEX(Popu_data!B$2:B$254, D6)</f>
        <v>48</v>
      </c>
      <c r="G6" s="3" t="str" cm="1">
        <f t="array" ref="G6" xml:space="preserve"> INDEX(Popu_data!C$2:C$254, D6)</f>
        <v>2</v>
      </c>
      <c r="H6" s="3" cm="1">
        <f t="array" ref="H6" xml:space="preserve"> INDEX(Popu_data!D$2:D$254, D6)</f>
        <v>5</v>
      </c>
      <c r="I6" s="3" cm="1">
        <f t="array" ref="I6" xml:space="preserve"> INDEX(Popu_data!E$2:E$254, D6)</f>
        <v>11602</v>
      </c>
      <c r="J6" s="3" cm="1">
        <f t="array" ref="J6" xml:space="preserve"> INDEX(Popu_data!F$2:F$254, D6)</f>
        <v>7000</v>
      </c>
      <c r="K6" s="3" t="str" cm="1">
        <f t="array" ref="K6" xml:space="preserve"> INDEX(Popu_data!G$2:G$254, D6)</f>
        <v>10</v>
      </c>
    </row>
    <row r="7" spans="1:11" x14ac:dyDescent="0.25">
      <c r="A7" s="3">
        <v>6</v>
      </c>
      <c r="B7" s="3">
        <f t="shared" si="0"/>
        <v>10</v>
      </c>
      <c r="C7" s="3">
        <v>8</v>
      </c>
      <c r="D7" s="3">
        <f t="shared" si="1"/>
        <v>58</v>
      </c>
      <c r="E7" s="3" t="str" cm="1">
        <f t="array" ref="E7" xml:space="preserve"> INDEX(Popu_data!A$2:A$254, D7)</f>
        <v>22082_4_02</v>
      </c>
      <c r="F7" s="8" cm="1">
        <f t="array" ref="F7" xml:space="preserve"> INDEX(Popu_data!B$2:B$254, D7)</f>
        <v>58</v>
      </c>
      <c r="G7" s="3" t="str" cm="1">
        <f t="array" ref="G7" xml:space="preserve"> INDEX(Popu_data!C$2:C$254, D7)</f>
        <v>9</v>
      </c>
      <c r="H7" s="3" cm="1">
        <f t="array" ref="H7" xml:space="preserve"> INDEX(Popu_data!D$2:D$254, D7)</f>
        <v>4</v>
      </c>
      <c r="I7" s="3" cm="1">
        <f t="array" ref="I7" xml:space="preserve"> INDEX(Popu_data!E$2:E$254, D7)</f>
        <v>13425</v>
      </c>
      <c r="J7" s="3" cm="1">
        <f t="array" ref="J7" xml:space="preserve"> INDEX(Popu_data!F$2:F$254, D7)</f>
        <v>18600</v>
      </c>
      <c r="K7" s="3" t="str" cm="1">
        <f t="array" ref="K7" xml:space="preserve"> INDEX(Popu_data!G$2:G$254, D7)</f>
        <v>13</v>
      </c>
    </row>
    <row r="8" spans="1:11" x14ac:dyDescent="0.25">
      <c r="A8" s="3">
        <v>7</v>
      </c>
      <c r="B8" s="3">
        <f t="shared" si="0"/>
        <v>10</v>
      </c>
      <c r="C8" s="3">
        <v>8</v>
      </c>
      <c r="D8" s="3">
        <f t="shared" si="1"/>
        <v>68</v>
      </c>
      <c r="E8" s="3" t="str" cm="1">
        <f t="array" ref="E8" xml:space="preserve"> INDEX(Popu_data!A$2:A$254, D8)</f>
        <v>15081_2_02</v>
      </c>
      <c r="F8" s="8" cm="1">
        <f t="array" ref="F8" xml:space="preserve"> INDEX(Popu_data!B$2:B$254, D8)</f>
        <v>68</v>
      </c>
      <c r="G8" s="3" t="str" cm="1">
        <f t="array" ref="G8" xml:space="preserve"> INDEX(Popu_data!C$2:C$254, D8)</f>
        <v>2</v>
      </c>
      <c r="H8" s="3" cm="1">
        <f t="array" ref="H8" xml:space="preserve"> INDEX(Popu_data!D$2:D$254, D8)</f>
        <v>3</v>
      </c>
      <c r="I8" s="3" cm="1">
        <f t="array" ref="I8" xml:space="preserve"> INDEX(Popu_data!E$2:E$254, D8)</f>
        <v>8680</v>
      </c>
      <c r="J8" s="3" cm="1">
        <f t="array" ref="J8" xml:space="preserve"> INDEX(Popu_data!F$2:F$254, D8)</f>
        <v>4060</v>
      </c>
      <c r="K8" s="3" t="str" cm="1">
        <f t="array" ref="K8" xml:space="preserve"> INDEX(Popu_data!G$2:G$254, D8)</f>
        <v>10</v>
      </c>
    </row>
    <row r="9" spans="1:11" x14ac:dyDescent="0.25">
      <c r="A9" s="3">
        <v>8</v>
      </c>
      <c r="B9" s="3">
        <f t="shared" si="0"/>
        <v>10</v>
      </c>
      <c r="C9" s="3">
        <v>8</v>
      </c>
      <c r="D9" s="3">
        <f t="shared" si="1"/>
        <v>78</v>
      </c>
      <c r="E9" s="3" t="str" cm="1">
        <f t="array" ref="E9" xml:space="preserve"> INDEX(Popu_data!A$2:A$254, D9)</f>
        <v>24001_3_02</v>
      </c>
      <c r="F9" s="8" cm="1">
        <f t="array" ref="F9" xml:space="preserve"> INDEX(Popu_data!B$2:B$254, D9)</f>
        <v>78</v>
      </c>
      <c r="G9" s="3" t="str" cm="1">
        <f t="array" ref="G9" xml:space="preserve"> INDEX(Popu_data!C$2:C$254, D9)</f>
        <v>1</v>
      </c>
      <c r="H9" s="3" cm="1">
        <f t="array" ref="H9" xml:space="preserve"> INDEX(Popu_data!D$2:D$254, D9)</f>
        <v>5</v>
      </c>
      <c r="I9" s="3" cm="1">
        <f t="array" ref="I9" xml:space="preserve"> INDEX(Popu_data!E$2:E$254, D9)</f>
        <v>16417</v>
      </c>
      <c r="J9" s="3" cm="1">
        <f t="array" ref="J9" xml:space="preserve"> INDEX(Popu_data!F$2:F$254, D9)</f>
        <v>25000</v>
      </c>
      <c r="K9" s="3" t="str" cm="1">
        <f t="array" ref="K9" xml:space="preserve"> INDEX(Popu_data!G$2:G$254, D9)</f>
        <v>12</v>
      </c>
    </row>
    <row r="10" spans="1:11" x14ac:dyDescent="0.25">
      <c r="A10" s="3">
        <v>9</v>
      </c>
      <c r="B10" s="3">
        <f t="shared" si="0"/>
        <v>10</v>
      </c>
      <c r="C10" s="3">
        <v>8</v>
      </c>
      <c r="D10" s="3">
        <f t="shared" si="1"/>
        <v>88</v>
      </c>
      <c r="E10" s="3" t="str" cm="1">
        <f t="array" ref="E10" xml:space="preserve"> INDEX(Popu_data!A$2:A$254, D10)</f>
        <v>25284_4_02</v>
      </c>
      <c r="F10" s="8" cm="1">
        <f t="array" ref="F10" xml:space="preserve"> INDEX(Popu_data!B$2:B$254, D10)</f>
        <v>88</v>
      </c>
      <c r="G10" s="3" t="str" cm="1">
        <f t="array" ref="G10" xml:space="preserve"> INDEX(Popu_data!C$2:C$254, D10)</f>
        <v>3</v>
      </c>
      <c r="H10" s="3" cm="1">
        <f t="array" ref="H10" xml:space="preserve"> INDEX(Popu_data!D$2:D$254, D10)</f>
        <v>1</v>
      </c>
      <c r="I10" s="3" cm="1">
        <f t="array" ref="I10" xml:space="preserve"> INDEX(Popu_data!E$2:E$254, D10)</f>
        <v>7125</v>
      </c>
      <c r="J10" s="3" cm="1">
        <f t="array" ref="J10" xml:space="preserve"> INDEX(Popu_data!F$2:F$254, D10)</f>
        <v>1500</v>
      </c>
      <c r="K10" s="3" t="str" cm="1">
        <f t="array" ref="K10" xml:space="preserve"> INDEX(Popu_data!G$2:G$254, D10)</f>
        <v>06</v>
      </c>
    </row>
    <row r="11" spans="1:11" x14ac:dyDescent="0.25">
      <c r="A11" s="3">
        <v>10</v>
      </c>
      <c r="B11" s="3">
        <f t="shared" si="0"/>
        <v>10</v>
      </c>
      <c r="C11" s="3">
        <v>8</v>
      </c>
      <c r="D11" s="3">
        <f t="shared" si="1"/>
        <v>98</v>
      </c>
      <c r="E11" s="3" t="str" cm="1">
        <f t="array" ref="E11" xml:space="preserve"> INDEX(Popu_data!A$2:A$254, D11)</f>
        <v>13562_1_01</v>
      </c>
      <c r="F11" s="8" cm="1">
        <f t="array" ref="F11" xml:space="preserve"> INDEX(Popu_data!B$2:B$254, D11)</f>
        <v>98</v>
      </c>
      <c r="G11" s="3" t="str" cm="1">
        <f t="array" ref="G11" xml:space="preserve"> INDEX(Popu_data!C$2:C$254, D11)</f>
        <v>9</v>
      </c>
      <c r="H11" s="3" cm="1">
        <f t="array" ref="H11" xml:space="preserve"> INDEX(Popu_data!D$2:D$254, D11)</f>
        <v>3</v>
      </c>
      <c r="I11" s="3" cm="1">
        <f t="array" ref="I11" xml:space="preserve"> INDEX(Popu_data!E$2:E$254, D11)</f>
        <v>7175</v>
      </c>
      <c r="J11" s="3" cm="1">
        <f t="array" ref="J11" xml:space="preserve"> INDEX(Popu_data!F$2:F$254, D11)</f>
        <v>4500</v>
      </c>
      <c r="K11" s="3" t="str" cm="1">
        <f t="array" ref="K11" xml:space="preserve"> INDEX(Popu_data!G$2:G$254, D11)</f>
        <v>08</v>
      </c>
    </row>
    <row r="12" spans="1:11" x14ac:dyDescent="0.25">
      <c r="A12" s="3">
        <v>11</v>
      </c>
      <c r="B12" s="3">
        <f t="shared" si="0"/>
        <v>10</v>
      </c>
      <c r="C12" s="3">
        <v>8</v>
      </c>
      <c r="D12" s="3">
        <f t="shared" si="1"/>
        <v>108</v>
      </c>
      <c r="E12" s="3" t="str" cm="1">
        <f t="array" ref="E12" xml:space="preserve"> INDEX(Popu_data!A$2:A$254, D12)</f>
        <v>12075_2_01</v>
      </c>
      <c r="F12" s="8" cm="1">
        <f t="array" ref="F12" xml:space="preserve"> INDEX(Popu_data!B$2:B$254, D12)</f>
        <v>108</v>
      </c>
      <c r="G12" s="3" t="str" cm="1">
        <f t="array" ref="G12" xml:space="preserve"> INDEX(Popu_data!C$2:C$254, D12)</f>
        <v>2</v>
      </c>
      <c r="H12" s="3" cm="1">
        <f t="array" ref="H12" xml:space="preserve"> INDEX(Popu_data!D$2:D$254, D12)</f>
        <v>4</v>
      </c>
      <c r="I12" s="3" cm="1">
        <f t="array" ref="I12" xml:space="preserve"> INDEX(Popu_data!E$2:E$254, D12)</f>
        <v>11679</v>
      </c>
      <c r="J12" s="3" cm="1">
        <f t="array" ref="J12" xml:space="preserve"> INDEX(Popu_data!F$2:F$254, D12)</f>
        <v>6750</v>
      </c>
      <c r="K12" s="3" t="str" cm="1">
        <f t="array" ref="K12" xml:space="preserve"> INDEX(Popu_data!G$2:G$254, D12)</f>
        <v>10</v>
      </c>
    </row>
    <row r="13" spans="1:11" x14ac:dyDescent="0.25">
      <c r="A13" s="3">
        <v>12</v>
      </c>
      <c r="B13" s="3">
        <f t="shared" si="0"/>
        <v>10</v>
      </c>
      <c r="C13" s="3">
        <v>8</v>
      </c>
      <c r="D13" s="3">
        <f t="shared" si="1"/>
        <v>118</v>
      </c>
      <c r="E13" s="3" t="str" cm="1">
        <f t="array" ref="E13" xml:space="preserve"> INDEX(Popu_data!A$2:A$254, D13)</f>
        <v>24471_4_01</v>
      </c>
      <c r="F13" s="8" cm="1">
        <f t="array" ref="F13" xml:space="preserve"> INDEX(Popu_data!B$2:B$254, D13)</f>
        <v>118</v>
      </c>
      <c r="G13" s="3" t="str" cm="1">
        <f t="array" ref="G13" xml:space="preserve"> INDEX(Popu_data!C$2:C$254, D13)</f>
        <v>9</v>
      </c>
      <c r="H13" s="3" cm="1">
        <f t="array" ref="H13" xml:space="preserve"> INDEX(Popu_data!D$2:D$254, D13)</f>
        <v>5</v>
      </c>
      <c r="I13" s="3" cm="1">
        <f t="array" ref="I13" xml:space="preserve"> INDEX(Popu_data!E$2:E$254, D13)</f>
        <v>16667</v>
      </c>
      <c r="J13" s="3" cm="1">
        <f t="array" ref="J13" xml:space="preserve"> INDEX(Popu_data!F$2:F$254, D13)</f>
        <v>8500</v>
      </c>
      <c r="K13" s="3" t="str" cm="1">
        <f t="array" ref="K13" xml:space="preserve"> INDEX(Popu_data!G$2:G$254, D13)</f>
        <v>07</v>
      </c>
    </row>
    <row r="14" spans="1:11" x14ac:dyDescent="0.25">
      <c r="A14" s="3">
        <v>13</v>
      </c>
      <c r="B14" s="3">
        <f t="shared" si="0"/>
        <v>10</v>
      </c>
      <c r="C14" s="3">
        <v>8</v>
      </c>
      <c r="D14" s="3">
        <f t="shared" si="1"/>
        <v>128</v>
      </c>
      <c r="E14" s="3" t="str" cm="1">
        <f t="array" ref="E14" xml:space="preserve"> INDEX(Popu_data!A$2:A$254, D14)</f>
        <v>15207_2_02</v>
      </c>
      <c r="F14" s="8" cm="1">
        <f t="array" ref="F14" xml:space="preserve"> INDEX(Popu_data!B$2:B$254, D14)</f>
        <v>128</v>
      </c>
      <c r="G14" s="3" t="str" cm="1">
        <f t="array" ref="G14" xml:space="preserve"> INDEX(Popu_data!C$2:C$254, D14)</f>
        <v>2</v>
      </c>
      <c r="H14" s="3" cm="1">
        <f t="array" ref="H14" xml:space="preserve"> INDEX(Popu_data!D$2:D$254, D14)</f>
        <v>2</v>
      </c>
      <c r="I14" s="3" cm="1">
        <f t="array" ref="I14" xml:space="preserve"> INDEX(Popu_data!E$2:E$254, D14)</f>
        <v>13250</v>
      </c>
      <c r="J14" s="3" cm="1">
        <f t="array" ref="J14" xml:space="preserve"> INDEX(Popu_data!F$2:F$254, D14)</f>
        <v>8000</v>
      </c>
      <c r="K14" s="3" t="str" cm="1">
        <f t="array" ref="K14" xml:space="preserve"> INDEX(Popu_data!G$2:G$254, D14)</f>
        <v>12</v>
      </c>
    </row>
    <row r="15" spans="1:11" x14ac:dyDescent="0.25">
      <c r="A15" s="3">
        <v>14</v>
      </c>
      <c r="B15" s="3">
        <f t="shared" si="0"/>
        <v>10</v>
      </c>
      <c r="C15" s="3">
        <v>8</v>
      </c>
      <c r="D15" s="3">
        <f t="shared" si="1"/>
        <v>138</v>
      </c>
      <c r="E15" s="3" t="str" cm="1">
        <f t="array" ref="E15" xml:space="preserve"> INDEX(Popu_data!A$2:A$254, D15)</f>
        <v>20776_1_02</v>
      </c>
      <c r="F15" s="8" cm="1">
        <f t="array" ref="F15" xml:space="preserve"> INDEX(Popu_data!B$2:B$254, D15)</f>
        <v>138</v>
      </c>
      <c r="G15" s="3" t="str" cm="1">
        <f t="array" ref="G15" xml:space="preserve"> INDEX(Popu_data!C$2:C$254, D15)</f>
        <v>3</v>
      </c>
      <c r="H15" s="3" cm="1">
        <f t="array" ref="H15" xml:space="preserve"> INDEX(Popu_data!D$2:D$254, D15)</f>
        <v>4</v>
      </c>
      <c r="I15" s="3" cm="1">
        <f t="array" ref="I15" xml:space="preserve"> INDEX(Popu_data!E$2:E$254, D15)</f>
        <v>6717</v>
      </c>
      <c r="J15" s="3" cm="1">
        <f t="array" ref="J15" xml:space="preserve"> INDEX(Popu_data!F$2:F$254, D15)</f>
        <v>3000</v>
      </c>
      <c r="K15" s="3" t="str" cm="1">
        <f t="array" ref="K15" xml:space="preserve"> INDEX(Popu_data!G$2:G$254, D15)</f>
        <v>13</v>
      </c>
    </row>
    <row r="16" spans="1:11" x14ac:dyDescent="0.25">
      <c r="A16" s="3">
        <v>15</v>
      </c>
      <c r="B16" s="3">
        <f t="shared" si="0"/>
        <v>10</v>
      </c>
      <c r="C16" s="3">
        <v>8</v>
      </c>
      <c r="D16" s="3">
        <f t="shared" si="1"/>
        <v>148</v>
      </c>
      <c r="E16" s="3" t="str" cm="1">
        <f t="array" ref="E16" xml:space="preserve"> INDEX(Popu_data!A$2:A$254, D16)</f>
        <v>10190_2_02</v>
      </c>
      <c r="F16" s="8" cm="1">
        <f t="array" ref="F16" xml:space="preserve"> INDEX(Popu_data!B$2:B$254, D16)</f>
        <v>148</v>
      </c>
      <c r="G16" s="3" t="str" cm="1">
        <f t="array" ref="G16" xml:space="preserve"> INDEX(Popu_data!C$2:C$254, D16)</f>
        <v>3</v>
      </c>
      <c r="H16" s="3" cm="1">
        <f t="array" ref="H16" xml:space="preserve"> INDEX(Popu_data!D$2:D$254, D16)</f>
        <v>4</v>
      </c>
      <c r="I16" s="3" cm="1">
        <f t="array" ref="I16" xml:space="preserve"> INDEX(Popu_data!E$2:E$254, D16)</f>
        <v>10600</v>
      </c>
      <c r="J16" s="3" cm="1">
        <f t="array" ref="J16" xml:space="preserve"> INDEX(Popu_data!F$2:F$254, D16)</f>
        <v>5000</v>
      </c>
      <c r="K16" s="3" t="str" cm="1">
        <f t="array" ref="K16" xml:space="preserve"> INDEX(Popu_data!G$2:G$254, D16)</f>
        <v>08</v>
      </c>
    </row>
    <row r="17" spans="1:11" x14ac:dyDescent="0.25">
      <c r="A17" s="3">
        <v>16</v>
      </c>
      <c r="B17" s="3">
        <f t="shared" si="0"/>
        <v>10</v>
      </c>
      <c r="C17" s="3">
        <v>8</v>
      </c>
      <c r="D17" s="3">
        <f t="shared" si="1"/>
        <v>158</v>
      </c>
      <c r="E17" s="3" t="str" cm="1">
        <f t="array" ref="E17" xml:space="preserve"> INDEX(Popu_data!A$2:A$254, D17)</f>
        <v>11695_1_02</v>
      </c>
      <c r="F17" s="8" cm="1">
        <f t="array" ref="F17" xml:space="preserve"> INDEX(Popu_data!B$2:B$254, D17)</f>
        <v>158</v>
      </c>
      <c r="G17" s="3" t="str" cm="1">
        <f t="array" ref="G17" xml:space="preserve"> INDEX(Popu_data!C$2:C$254, D17)</f>
        <v>3</v>
      </c>
      <c r="H17" s="3" cm="1">
        <f t="array" ref="H17" xml:space="preserve"> INDEX(Popu_data!D$2:D$254, D17)</f>
        <v>4</v>
      </c>
      <c r="I17" s="3" cm="1">
        <f t="array" ref="I17" xml:space="preserve"> INDEX(Popu_data!E$2:E$254, D17)</f>
        <v>8625</v>
      </c>
      <c r="J17" s="3" cm="1">
        <f t="array" ref="J17" xml:space="preserve"> INDEX(Popu_data!F$2:F$254, D17)</f>
        <v>7500</v>
      </c>
      <c r="K17" s="3" t="str" cm="1">
        <f t="array" ref="K17" xml:space="preserve"> INDEX(Popu_data!G$2:G$254, D17)</f>
        <v>10</v>
      </c>
    </row>
    <row r="18" spans="1:11" x14ac:dyDescent="0.25">
      <c r="A18" s="3">
        <v>17</v>
      </c>
      <c r="B18" s="3">
        <f t="shared" si="0"/>
        <v>10</v>
      </c>
      <c r="C18" s="3">
        <v>8</v>
      </c>
      <c r="D18" s="3">
        <f t="shared" si="1"/>
        <v>168</v>
      </c>
      <c r="E18" s="3" t="str" cm="1">
        <f t="array" ref="E18" xml:space="preserve"> INDEX(Popu_data!A$2:A$254, D18)</f>
        <v>26115_1_01</v>
      </c>
      <c r="F18" s="8" cm="1">
        <f t="array" ref="F18" xml:space="preserve"> INDEX(Popu_data!B$2:B$254, D18)</f>
        <v>168</v>
      </c>
      <c r="G18" s="3" t="str" cm="1">
        <f t="array" ref="G18" xml:space="preserve"> INDEX(Popu_data!C$2:C$254, D18)</f>
        <v>3</v>
      </c>
      <c r="H18" s="3" cm="1">
        <f t="array" ref="H18" xml:space="preserve"> INDEX(Popu_data!D$2:D$254, D18)</f>
        <v>3</v>
      </c>
      <c r="I18" s="3" cm="1">
        <f t="array" ref="I18" xml:space="preserve"> INDEX(Popu_data!E$2:E$254, D18)</f>
        <v>19577</v>
      </c>
      <c r="J18" s="3" cm="1">
        <f t="array" ref="J18" xml:space="preserve"> INDEX(Popu_data!F$2:F$254, D18)</f>
        <v>17550</v>
      </c>
      <c r="K18" s="3" t="str" cm="1">
        <f t="array" ref="K18" xml:space="preserve"> INDEX(Popu_data!G$2:G$254, D18)</f>
        <v>13</v>
      </c>
    </row>
    <row r="19" spans="1:11" x14ac:dyDescent="0.25">
      <c r="A19" s="3">
        <v>18</v>
      </c>
      <c r="B19" s="3">
        <f t="shared" si="0"/>
        <v>10</v>
      </c>
      <c r="C19" s="3">
        <v>8</v>
      </c>
      <c r="D19" s="3">
        <f t="shared" si="1"/>
        <v>178</v>
      </c>
      <c r="E19" s="3" t="str" cm="1">
        <f t="array" ref="E19" xml:space="preserve"> INDEX(Popu_data!A$2:A$254, D19)</f>
        <v>10542_1_01</v>
      </c>
      <c r="F19" s="8" cm="1">
        <f t="array" ref="F19" xml:space="preserve"> INDEX(Popu_data!B$2:B$254, D19)</f>
        <v>178</v>
      </c>
      <c r="G19" s="3" t="str" cm="1">
        <f t="array" ref="G19" xml:space="preserve"> INDEX(Popu_data!C$2:C$254, D19)</f>
        <v>1</v>
      </c>
      <c r="H19" s="3" cm="1">
        <f t="array" ref="H19" xml:space="preserve"> INDEX(Popu_data!D$2:D$254, D19)</f>
        <v>6</v>
      </c>
      <c r="I19" s="3" cm="1">
        <f t="array" ref="I19" xml:space="preserve"> INDEX(Popu_data!E$2:E$254, D19)</f>
        <v>23250</v>
      </c>
      <c r="J19" s="3" cm="1">
        <f t="array" ref="J19" xml:space="preserve"> INDEX(Popu_data!F$2:F$254, D19)</f>
        <v>30000</v>
      </c>
      <c r="K19" s="3" t="str" cm="1">
        <f t="array" ref="K19" xml:space="preserve"> INDEX(Popu_data!G$2:G$254, D19)</f>
        <v>13</v>
      </c>
    </row>
    <row r="20" spans="1:11" x14ac:dyDescent="0.25">
      <c r="A20" s="3">
        <v>19</v>
      </c>
      <c r="B20" s="3">
        <f t="shared" si="0"/>
        <v>10</v>
      </c>
      <c r="C20" s="3">
        <v>8</v>
      </c>
      <c r="D20" s="3">
        <f t="shared" si="1"/>
        <v>188</v>
      </c>
      <c r="E20" s="3" t="str" cm="1">
        <f t="array" ref="E20" xml:space="preserve"> INDEX(Popu_data!A$2:A$254, D20)</f>
        <v>15801_2_02</v>
      </c>
      <c r="F20" s="8" cm="1">
        <f t="array" ref="F20" xml:space="preserve"> INDEX(Popu_data!B$2:B$254, D20)</f>
        <v>188</v>
      </c>
      <c r="G20" s="3" t="str" cm="1">
        <f t="array" ref="G20" xml:space="preserve"> INDEX(Popu_data!C$2:C$254, D20)</f>
        <v>2</v>
      </c>
      <c r="H20" s="3" cm="1">
        <f t="array" ref="H20" xml:space="preserve"> INDEX(Popu_data!D$2:D$254, D20)</f>
        <v>5</v>
      </c>
      <c r="I20" s="3" cm="1">
        <f t="array" ref="I20" xml:space="preserve"> INDEX(Popu_data!E$2:E$254, D20)</f>
        <v>16258</v>
      </c>
      <c r="J20" s="3" cm="1">
        <f t="array" ref="J20" xml:space="preserve"> INDEX(Popu_data!F$2:F$254, D20)</f>
        <v>18000</v>
      </c>
      <c r="K20" s="3" t="str" cm="1">
        <f t="array" ref="K20" xml:space="preserve"> INDEX(Popu_data!G$2:G$254, D20)</f>
        <v>10</v>
      </c>
    </row>
    <row r="21" spans="1:11" x14ac:dyDescent="0.25">
      <c r="A21" s="3">
        <v>20</v>
      </c>
      <c r="B21" s="3">
        <f t="shared" si="0"/>
        <v>10</v>
      </c>
      <c r="C21" s="3">
        <v>8</v>
      </c>
      <c r="D21" s="3">
        <f t="shared" si="1"/>
        <v>198</v>
      </c>
      <c r="E21" s="3" t="str" cm="1">
        <f t="array" ref="E21" xml:space="preserve"> INDEX(Popu_data!A$2:A$254, D21)</f>
        <v>25797_2_02</v>
      </c>
      <c r="F21" s="8" cm="1">
        <f t="array" ref="F21" xml:space="preserve"> INDEX(Popu_data!B$2:B$254, D21)</f>
        <v>198</v>
      </c>
      <c r="G21" s="3" t="str" cm="1">
        <f t="array" ref="G21" xml:space="preserve"> INDEX(Popu_data!C$2:C$254, D21)</f>
        <v>2</v>
      </c>
      <c r="H21" s="3" cm="1">
        <f t="array" ref="H21" xml:space="preserve"> INDEX(Popu_data!D$2:D$254, D21)</f>
        <v>2</v>
      </c>
      <c r="I21" s="3" cm="1">
        <f t="array" ref="I21" xml:space="preserve"> INDEX(Popu_data!E$2:E$254, D21)</f>
        <v>6681</v>
      </c>
      <c r="J21" s="3" cm="1">
        <f t="array" ref="J21" xml:space="preserve"> INDEX(Popu_data!F$2:F$254, D21)</f>
        <v>10350</v>
      </c>
      <c r="K21" s="3" t="str" cm="1">
        <f t="array" ref="K21" xml:space="preserve"> INDEX(Popu_data!G$2:G$254, D21)</f>
        <v>12</v>
      </c>
    </row>
    <row r="22" spans="1:11" x14ac:dyDescent="0.25">
      <c r="A22" s="3">
        <v>21</v>
      </c>
      <c r="B22" s="3">
        <f t="shared" si="0"/>
        <v>10</v>
      </c>
      <c r="C22" s="3">
        <v>8</v>
      </c>
      <c r="D22" s="3">
        <f t="shared" si="1"/>
        <v>208</v>
      </c>
      <c r="E22" s="3" t="str" cm="1">
        <f t="array" ref="E22" xml:space="preserve"> INDEX(Popu_data!A$2:A$254, D22)</f>
        <v>11411_1_01</v>
      </c>
      <c r="F22" s="8" cm="1">
        <f t="array" ref="F22" xml:space="preserve"> INDEX(Popu_data!B$2:B$254, D22)</f>
        <v>208</v>
      </c>
      <c r="G22" s="3" t="str" cm="1">
        <f t="array" ref="G22" xml:space="preserve"> INDEX(Popu_data!C$2:C$254, D22)</f>
        <v>3</v>
      </c>
      <c r="H22" s="3" cm="1">
        <f t="array" ref="H22" xml:space="preserve"> INDEX(Popu_data!D$2:D$254, D22)</f>
        <v>8</v>
      </c>
      <c r="I22" s="3" cm="1">
        <f t="array" ref="I22" xml:space="preserve"> INDEX(Popu_data!E$2:E$254, D22)</f>
        <v>10800</v>
      </c>
      <c r="J22" s="3" cm="1">
        <f t="array" ref="J22" xml:space="preserve"> INDEX(Popu_data!F$2:F$254, D22)</f>
        <v>15000</v>
      </c>
      <c r="K22" s="3" t="str" cm="1">
        <f t="array" ref="K22" xml:space="preserve"> INDEX(Popu_data!G$2:G$254, D22)</f>
        <v>10</v>
      </c>
    </row>
    <row r="23" spans="1:11" x14ac:dyDescent="0.25">
      <c r="A23" s="3">
        <v>22</v>
      </c>
      <c r="B23" s="3">
        <f t="shared" si="0"/>
        <v>10</v>
      </c>
      <c r="C23" s="3">
        <v>8</v>
      </c>
      <c r="D23" s="3">
        <f t="shared" si="1"/>
        <v>218</v>
      </c>
      <c r="E23" s="3" t="str" cm="1">
        <f t="array" ref="E23" xml:space="preserve"> INDEX(Popu_data!A$2:A$254, D23)</f>
        <v>14875_2_02</v>
      </c>
      <c r="F23" s="8" cm="1">
        <f t="array" ref="F23" xml:space="preserve"> INDEX(Popu_data!B$2:B$254, D23)</f>
        <v>218</v>
      </c>
      <c r="G23" s="3" t="str" cm="1">
        <f t="array" ref="G23" xml:space="preserve"> INDEX(Popu_data!C$2:C$254, D23)</f>
        <v>3</v>
      </c>
      <c r="H23" s="3" cm="1">
        <f t="array" ref="H23" xml:space="preserve"> INDEX(Popu_data!D$2:D$254, D23)</f>
        <v>5</v>
      </c>
      <c r="I23" s="3" cm="1">
        <f t="array" ref="I23" xml:space="preserve"> INDEX(Popu_data!E$2:E$254, D23)</f>
        <v>7792</v>
      </c>
      <c r="J23" s="3" cm="1">
        <f t="array" ref="J23" xml:space="preserve"> INDEX(Popu_data!F$2:F$254, D23)</f>
        <v>10500</v>
      </c>
      <c r="K23" s="3" t="str" cm="1">
        <f t="array" ref="K23" xml:space="preserve"> INDEX(Popu_data!G$2:G$254, D23)</f>
        <v>08</v>
      </c>
    </row>
    <row r="24" spans="1:11" x14ac:dyDescent="0.25">
      <c r="A24" s="3">
        <v>23</v>
      </c>
      <c r="B24" s="3">
        <f t="shared" si="0"/>
        <v>10</v>
      </c>
      <c r="C24" s="3">
        <v>8</v>
      </c>
      <c r="D24" s="3">
        <f t="shared" si="1"/>
        <v>228</v>
      </c>
      <c r="E24" s="3" t="str" cm="1">
        <f t="array" ref="E24" xml:space="preserve"> INDEX(Popu_data!A$2:A$254, D24)</f>
        <v>10711_2_01</v>
      </c>
      <c r="F24" s="8" cm="1">
        <f t="array" ref="F24" xml:space="preserve"> INDEX(Popu_data!B$2:B$254, D24)</f>
        <v>228</v>
      </c>
      <c r="G24" s="3" t="str" cm="1">
        <f t="array" ref="G24" xml:space="preserve"> INDEX(Popu_data!C$2:C$254, D24)</f>
        <v>3</v>
      </c>
      <c r="H24" s="3" cm="1">
        <f t="array" ref="H24" xml:space="preserve"> INDEX(Popu_data!D$2:D$254, D24)</f>
        <v>5</v>
      </c>
      <c r="I24" s="3" cm="1">
        <f t="array" ref="I24" xml:space="preserve"> INDEX(Popu_data!E$2:E$254, D24)</f>
        <v>19558</v>
      </c>
      <c r="J24" s="3" cm="1">
        <f t="array" ref="J24" xml:space="preserve"> INDEX(Popu_data!F$2:F$254, D24)</f>
        <v>8500</v>
      </c>
      <c r="K24" s="3" t="str" cm="1">
        <f t="array" ref="K24" xml:space="preserve"> INDEX(Popu_data!G$2:G$254, D24)</f>
        <v>12</v>
      </c>
    </row>
    <row r="25" spans="1:11" x14ac:dyDescent="0.25">
      <c r="A25" s="3">
        <v>24</v>
      </c>
      <c r="B25" s="3">
        <f t="shared" si="0"/>
        <v>10</v>
      </c>
      <c r="C25" s="3">
        <v>8</v>
      </c>
      <c r="D25" s="3">
        <f t="shared" si="1"/>
        <v>238</v>
      </c>
      <c r="E25" s="3" t="str" cm="1">
        <f t="array" ref="E25" xml:space="preserve"> INDEX(Popu_data!A$2:A$254, D25)</f>
        <v>13985_2_02</v>
      </c>
      <c r="F25" s="8" cm="1">
        <f t="array" ref="F25" xml:space="preserve"> INDEX(Popu_data!B$2:B$254, D25)</f>
        <v>238</v>
      </c>
      <c r="G25" s="3" t="str" cm="1">
        <f t="array" ref="G25" xml:space="preserve"> INDEX(Popu_data!C$2:C$254, D25)</f>
        <v>3</v>
      </c>
      <c r="H25" s="3" cm="1">
        <f t="array" ref="H25" xml:space="preserve"> INDEX(Popu_data!D$2:D$254, D25)</f>
        <v>4</v>
      </c>
      <c r="I25" s="3" cm="1">
        <f t="array" ref="I25" xml:space="preserve"> INDEX(Popu_data!E$2:E$254, D25)</f>
        <v>12792</v>
      </c>
      <c r="J25" s="3" cm="1">
        <f t="array" ref="J25" xml:space="preserve"> INDEX(Popu_data!F$2:F$254, D25)</f>
        <v>6000</v>
      </c>
      <c r="K25" s="3" t="str" cm="1">
        <f t="array" ref="K25" xml:space="preserve"> INDEX(Popu_data!G$2:G$254, D25)</f>
        <v>10</v>
      </c>
    </row>
    <row r="26" spans="1:11" x14ac:dyDescent="0.25">
      <c r="A26" s="3">
        <v>25</v>
      </c>
      <c r="B26" s="3">
        <f t="shared" si="0"/>
        <v>10</v>
      </c>
      <c r="C26" s="3">
        <v>8</v>
      </c>
      <c r="D26" s="3">
        <f t="shared" si="1"/>
        <v>248</v>
      </c>
      <c r="E26" s="3" t="str" cm="1">
        <f t="array" ref="E26" xml:space="preserve"> INDEX(Popu_data!A$2:A$254, D26)</f>
        <v>23144_2_01</v>
      </c>
      <c r="F26" s="8" cm="1">
        <f t="array" ref="F26" xml:space="preserve"> INDEX(Popu_data!B$2:B$254, D26)</f>
        <v>248</v>
      </c>
      <c r="G26" s="3" t="str" cm="1">
        <f t="array" ref="G26" xml:space="preserve"> INDEX(Popu_data!C$2:C$254, D26)</f>
        <v>2</v>
      </c>
      <c r="H26" s="3" cm="1">
        <f t="array" ref="H26" xml:space="preserve"> INDEX(Popu_data!D$2:D$254, D26)</f>
        <v>4</v>
      </c>
      <c r="I26" s="3" cm="1">
        <f t="array" ref="I26" xml:space="preserve"> INDEX(Popu_data!E$2:E$254, D26)</f>
        <v>12850</v>
      </c>
      <c r="J26" s="3" cm="1">
        <f t="array" ref="J26" xml:space="preserve"> INDEX(Popu_data!F$2:F$254, D26)</f>
        <v>3000</v>
      </c>
      <c r="K26" s="3" t="str" cm="1">
        <f t="array" ref="K26" xml:space="preserve"> INDEX(Popu_data!G$2:G$254, D26)</f>
        <v>12</v>
      </c>
    </row>
    <row r="28" spans="1:11" x14ac:dyDescent="0.25">
      <c r="F28" s="17" t="s">
        <v>324</v>
      </c>
      <c r="G28">
        <v>253</v>
      </c>
    </row>
    <row r="29" spans="1:11" x14ac:dyDescent="0.25">
      <c r="F29" s="17" t="s">
        <v>325</v>
      </c>
      <c r="G29">
        <v>25</v>
      </c>
    </row>
    <row r="30" spans="1:11" x14ac:dyDescent="0.25">
      <c r="A30" s="1"/>
      <c r="B30" s="1"/>
      <c r="C30" s="1"/>
      <c r="D30" s="1"/>
      <c r="E30" s="1"/>
      <c r="F30" s="23" t="s">
        <v>333</v>
      </c>
    </row>
    <row r="31" spans="1:11" ht="45" x14ac:dyDescent="0.25">
      <c r="F31" s="24" t="s">
        <v>327</v>
      </c>
      <c r="G31" s="24" t="s">
        <v>332</v>
      </c>
      <c r="H31" s="24" t="s">
        <v>328</v>
      </c>
      <c r="I31" s="24" t="s">
        <v>330</v>
      </c>
      <c r="J31" s="24" t="s">
        <v>329</v>
      </c>
      <c r="K31" s="24" t="s">
        <v>331</v>
      </c>
    </row>
    <row r="32" spans="1:11" x14ac:dyDescent="0.25">
      <c r="F32">
        <f>SUM(H2:H26)*G28/G29</f>
        <v>1092.96</v>
      </c>
      <c r="G32">
        <f>SUM(H2:H26)/G29</f>
        <v>4.32</v>
      </c>
      <c r="H32" s="16">
        <f>SUM(I2:I26)/G29</f>
        <v>13080.2</v>
      </c>
      <c r="I32" s="16">
        <f>SUM(I2:I26) / SUM(H2:H26)</f>
        <v>3027.8240740740739</v>
      </c>
      <c r="J32" s="16">
        <f>SUM(J2:J26)/SUM(H2:H26)</f>
        <v>2404.1666666666665</v>
      </c>
      <c r="K32">
        <f>COUNTIF(G2:G26,1)/25</f>
        <v>0.08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F31" sqref="F31"/>
    </sheetView>
  </sheetViews>
  <sheetFormatPr defaultRowHeight="15" x14ac:dyDescent="0.25"/>
  <cols>
    <col min="4" max="4" width="13.7109375" customWidth="1"/>
    <col min="5" max="5" width="9.140625" customWidth="1"/>
    <col min="6" max="6" width="12.28515625" customWidth="1"/>
    <col min="11" max="11" width="14.85546875" customWidth="1"/>
  </cols>
  <sheetData>
    <row r="1" spans="1:11" ht="30" x14ac:dyDescent="0.25">
      <c r="A1" s="4" t="s">
        <v>268</v>
      </c>
      <c r="B1" s="4" t="s">
        <v>269</v>
      </c>
      <c r="C1" s="4" t="s">
        <v>270</v>
      </c>
      <c r="D1" s="4" t="s">
        <v>272</v>
      </c>
      <c r="E1" s="6" t="s">
        <v>0</v>
      </c>
      <c r="F1" s="7" t="s">
        <v>316</v>
      </c>
      <c r="G1" s="6" t="s">
        <v>291</v>
      </c>
      <c r="H1" s="6" t="s">
        <v>290</v>
      </c>
      <c r="I1" s="6" t="s">
        <v>292</v>
      </c>
      <c r="J1" s="6" t="s">
        <v>293</v>
      </c>
      <c r="K1" s="6" t="s">
        <v>322</v>
      </c>
    </row>
    <row r="2" spans="1:11" x14ac:dyDescent="0.25">
      <c r="A2" s="3">
        <v>1</v>
      </c>
      <c r="B2" s="3">
        <f>INT(253/25)</f>
        <v>10</v>
      </c>
      <c r="C2" s="3">
        <v>17</v>
      </c>
      <c r="D2" s="3">
        <f>MOD($C$2 + (ROW()-2)*10 - 1, 253) + 1</f>
        <v>17</v>
      </c>
      <c r="E2" s="3" t="str" cm="1">
        <f t="array" ref="E2">INDEX(Popu_data!A$2:A$254, D2)</f>
        <v>23700_1_01</v>
      </c>
      <c r="F2" s="8" cm="1">
        <f t="array" ref="F2">INDEX(Popu_data!B$2:B$254, D2)</f>
        <v>17</v>
      </c>
      <c r="G2" s="3" t="str" cm="1">
        <f t="array" ref="G2">INDEX(Popu_data!C$2:C$254, D2)</f>
        <v>3</v>
      </c>
      <c r="H2" s="3" cm="1">
        <f t="array" ref="H2">INDEX(Popu_data!D$2:D$254, D2)</f>
        <v>8</v>
      </c>
      <c r="I2" s="3" cm="1">
        <f t="array" ref="I2">INDEX(Popu_data!E$2:E$254, D2)</f>
        <v>15500</v>
      </c>
      <c r="J2" s="3" cm="1">
        <f t="array" ref="J2">INDEX(Popu_data!F$2:F$254, D2)</f>
        <v>18000</v>
      </c>
      <c r="K2" s="3" t="str" cm="1">
        <f t="array" ref="K2">INDEX(Popu_data!G$2:G$254, D2)</f>
        <v>12</v>
      </c>
    </row>
    <row r="3" spans="1:11" x14ac:dyDescent="0.25">
      <c r="A3" s="3">
        <v>2</v>
      </c>
      <c r="B3" s="3">
        <f t="shared" ref="B3:B26" si="0">INT(253/25)</f>
        <v>10</v>
      </c>
      <c r="C3" s="3">
        <v>17</v>
      </c>
      <c r="D3" s="3">
        <f t="shared" ref="D3:D26" si="1">MOD($C$2 + (ROW()-2)*10 - 1, 253) + 1</f>
        <v>27</v>
      </c>
      <c r="E3" s="3" t="str" cm="1">
        <f t="array" ref="E3">INDEX(Popu_data!A$2:A$254, D3)</f>
        <v>12829_3_01</v>
      </c>
      <c r="F3" s="8" cm="1">
        <f t="array" ref="F3">INDEX(Popu_data!B$2:B$254, D3)</f>
        <v>27</v>
      </c>
      <c r="G3" s="3" t="str" cm="1">
        <f t="array" ref="G3">INDEX(Popu_data!C$2:C$254, D3)</f>
        <v>9</v>
      </c>
      <c r="H3" s="3" cm="1">
        <f t="array" ref="H3">INDEX(Popu_data!D$2:D$254, D3)</f>
        <v>4</v>
      </c>
      <c r="I3" s="3" cm="1">
        <f t="array" ref="I3">INDEX(Popu_data!E$2:E$254, D3)</f>
        <v>7750</v>
      </c>
      <c r="J3" s="3" cm="1">
        <f t="array" ref="J3">INDEX(Popu_data!F$2:F$254, D3)</f>
        <v>15000</v>
      </c>
      <c r="K3" s="3" t="str" cm="1">
        <f t="array" ref="K3">INDEX(Popu_data!G$2:G$254, D3)</f>
        <v>07</v>
      </c>
    </row>
    <row r="4" spans="1:11" x14ac:dyDescent="0.25">
      <c r="A4" s="3">
        <v>3</v>
      </c>
      <c r="B4" s="3">
        <f t="shared" si="0"/>
        <v>10</v>
      </c>
      <c r="C4" s="3">
        <v>17</v>
      </c>
      <c r="D4" s="3">
        <f t="shared" si="1"/>
        <v>37</v>
      </c>
      <c r="E4" s="3" t="str" cm="1">
        <f t="array" ref="E4">INDEX(Popu_data!A$2:A$254, D4)</f>
        <v>12399_1_01</v>
      </c>
      <c r="F4" s="8" cm="1">
        <f t="array" ref="F4">INDEX(Popu_data!B$2:B$254, D4)</f>
        <v>37</v>
      </c>
      <c r="G4" s="3" t="str" cm="1">
        <f t="array" ref="G4">INDEX(Popu_data!C$2:C$254, D4)</f>
        <v>2</v>
      </c>
      <c r="H4" s="3" cm="1">
        <f t="array" ref="H4">INDEX(Popu_data!D$2:D$254, D4)</f>
        <v>4</v>
      </c>
      <c r="I4" s="3" cm="1">
        <f t="array" ref="I4">INDEX(Popu_data!E$2:E$254, D4)</f>
        <v>6833</v>
      </c>
      <c r="J4" s="3" cm="1">
        <f t="array" ref="J4">INDEX(Popu_data!F$2:F$254, D4)</f>
        <v>4000</v>
      </c>
      <c r="K4" s="3" t="str" cm="1">
        <f t="array" ref="K4">INDEX(Popu_data!G$2:G$254, D4)</f>
        <v>08</v>
      </c>
    </row>
    <row r="5" spans="1:11" x14ac:dyDescent="0.25">
      <c r="A5" s="3">
        <v>4</v>
      </c>
      <c r="B5" s="3">
        <f t="shared" si="0"/>
        <v>10</v>
      </c>
      <c r="C5" s="3">
        <v>17</v>
      </c>
      <c r="D5" s="3">
        <f t="shared" si="1"/>
        <v>47</v>
      </c>
      <c r="E5" s="3" t="str" cm="1">
        <f t="array" ref="E5">INDEX(Popu_data!A$2:A$254, D5)</f>
        <v>24417_4_01</v>
      </c>
      <c r="F5" s="8" cm="1">
        <f t="array" ref="F5">INDEX(Popu_data!B$2:B$254, D5)</f>
        <v>47</v>
      </c>
      <c r="G5" s="3" t="str" cm="1">
        <f t="array" ref="G5">INDEX(Popu_data!C$2:C$254, D5)</f>
        <v>9</v>
      </c>
      <c r="H5" s="3" cm="1">
        <f t="array" ref="H5">INDEX(Popu_data!D$2:D$254, D5)</f>
        <v>2</v>
      </c>
      <c r="I5" s="3" cm="1">
        <f t="array" ref="I5">INDEX(Popu_data!E$2:E$254, D5)</f>
        <v>5000</v>
      </c>
      <c r="J5" s="3" cm="1">
        <f t="array" ref="J5">INDEX(Popu_data!F$2:F$254, D5)</f>
        <v>5000</v>
      </c>
      <c r="K5" s="3" t="str" cm="1">
        <f t="array" ref="K5">INDEX(Popu_data!G$2:G$254, D5)</f>
        <v>01</v>
      </c>
    </row>
    <row r="6" spans="1:11" x14ac:dyDescent="0.25">
      <c r="A6" s="3">
        <v>5</v>
      </c>
      <c r="B6" s="3">
        <f t="shared" si="0"/>
        <v>10</v>
      </c>
      <c r="C6" s="3">
        <v>17</v>
      </c>
      <c r="D6" s="3">
        <f t="shared" si="1"/>
        <v>57</v>
      </c>
      <c r="E6" s="3" t="str" cm="1">
        <f t="array" ref="E6">INDEX(Popu_data!A$2:A$254, D6)</f>
        <v>20501_4_01</v>
      </c>
      <c r="F6" s="8" cm="1">
        <f t="array" ref="F6">INDEX(Popu_data!B$2:B$254, D6)</f>
        <v>57</v>
      </c>
      <c r="G6" s="3" t="str" cm="1">
        <f t="array" ref="G6">INDEX(Popu_data!C$2:C$254, D6)</f>
        <v>9</v>
      </c>
      <c r="H6" s="3" cm="1">
        <f t="array" ref="H6">INDEX(Popu_data!D$2:D$254, D6)</f>
        <v>4</v>
      </c>
      <c r="I6" s="3" cm="1">
        <f t="array" ref="I6">INDEX(Popu_data!E$2:E$254, D6)</f>
        <v>11653</v>
      </c>
      <c r="J6" s="3" cm="1">
        <f t="array" ref="J6">INDEX(Popu_data!F$2:F$254, D6)</f>
        <v>10000</v>
      </c>
      <c r="K6" s="3" t="str" cm="1">
        <f t="array" ref="K6">INDEX(Popu_data!G$2:G$254, D6)</f>
        <v>07</v>
      </c>
    </row>
    <row r="7" spans="1:11" x14ac:dyDescent="0.25">
      <c r="A7" s="3">
        <v>6</v>
      </c>
      <c r="B7" s="3">
        <f t="shared" si="0"/>
        <v>10</v>
      </c>
      <c r="C7" s="3">
        <v>17</v>
      </c>
      <c r="D7" s="3">
        <f t="shared" si="1"/>
        <v>67</v>
      </c>
      <c r="E7" s="3" t="str" cm="1">
        <f t="array" ref="E7">INDEX(Popu_data!A$2:A$254, D7)</f>
        <v>12609_2_01</v>
      </c>
      <c r="F7" s="8" cm="1">
        <f t="array" ref="F7">INDEX(Popu_data!B$2:B$254, D7)</f>
        <v>67</v>
      </c>
      <c r="G7" s="3" t="str" cm="1">
        <f t="array" ref="G7">INDEX(Popu_data!C$2:C$254, D7)</f>
        <v>9</v>
      </c>
      <c r="H7" s="3" cm="1">
        <f t="array" ref="H7">INDEX(Popu_data!D$2:D$254, D7)</f>
        <v>7</v>
      </c>
      <c r="I7" s="3" cm="1">
        <f t="array" ref="I7">INDEX(Popu_data!E$2:E$254, D7)</f>
        <v>8417</v>
      </c>
      <c r="J7" s="3" cm="1">
        <f t="array" ref="J7">INDEX(Popu_data!F$2:F$254, D7)</f>
        <v>12000</v>
      </c>
      <c r="K7" s="3" t="str" cm="1">
        <f t="array" ref="K7">INDEX(Popu_data!G$2:G$254, D7)</f>
        <v>10</v>
      </c>
    </row>
    <row r="8" spans="1:11" x14ac:dyDescent="0.25">
      <c r="A8" s="3">
        <v>7</v>
      </c>
      <c r="B8" s="3">
        <f t="shared" si="0"/>
        <v>10</v>
      </c>
      <c r="C8" s="3">
        <v>17</v>
      </c>
      <c r="D8" s="3">
        <f t="shared" si="1"/>
        <v>77</v>
      </c>
      <c r="E8" s="3" t="str" cm="1">
        <f t="array" ref="E8">INDEX(Popu_data!A$2:A$254, D8)</f>
        <v>11311_2_01</v>
      </c>
      <c r="F8" s="8" cm="1">
        <f t="array" ref="F8">INDEX(Popu_data!B$2:B$254, D8)</f>
        <v>77</v>
      </c>
      <c r="G8" s="3" t="str" cm="1">
        <f t="array" ref="G8">INDEX(Popu_data!C$2:C$254, D8)</f>
        <v>3</v>
      </c>
      <c r="H8" s="3" cm="1">
        <f t="array" ref="H8">INDEX(Popu_data!D$2:D$254, D8)</f>
        <v>4</v>
      </c>
      <c r="I8" s="3" cm="1">
        <f t="array" ref="I8">INDEX(Popu_data!E$2:E$254, D8)</f>
        <v>7055</v>
      </c>
      <c r="J8" s="3" cm="1">
        <f t="array" ref="J8">INDEX(Popu_data!F$2:F$254, D8)</f>
        <v>7589</v>
      </c>
      <c r="K8" s="3" t="str" cm="1">
        <f t="array" ref="K8">INDEX(Popu_data!G$2:G$254, D8)</f>
        <v>11</v>
      </c>
    </row>
    <row r="9" spans="1:11" x14ac:dyDescent="0.25">
      <c r="A9" s="3">
        <v>8</v>
      </c>
      <c r="B9" s="3">
        <f t="shared" si="0"/>
        <v>10</v>
      </c>
      <c r="C9" s="3">
        <v>17</v>
      </c>
      <c r="D9" s="3">
        <f t="shared" si="1"/>
        <v>87</v>
      </c>
      <c r="E9" s="3" t="str" cm="1">
        <f t="array" ref="E9">INDEX(Popu_data!A$2:A$254, D9)</f>
        <v>17415_1_01</v>
      </c>
      <c r="F9" s="8" cm="1">
        <f t="array" ref="F9">INDEX(Popu_data!B$2:B$254, D9)</f>
        <v>87</v>
      </c>
      <c r="G9" s="3" t="str" cm="1">
        <f t="array" ref="G9">INDEX(Popu_data!C$2:C$254, D9)</f>
        <v>1</v>
      </c>
      <c r="H9" s="3" cm="1">
        <f t="array" ref="H9">INDEX(Popu_data!D$2:D$254, D9)</f>
        <v>4</v>
      </c>
      <c r="I9" s="3" cm="1">
        <f t="array" ref="I9">INDEX(Popu_data!E$2:E$254, D9)</f>
        <v>17055</v>
      </c>
      <c r="J9" s="3" cm="1">
        <f t="array" ref="J9">INDEX(Popu_data!F$2:F$254, D9)</f>
        <v>20000</v>
      </c>
      <c r="K9" s="3" t="str" cm="1">
        <f t="array" ref="K9">INDEX(Popu_data!G$2:G$254, D9)</f>
        <v>12</v>
      </c>
    </row>
    <row r="10" spans="1:11" x14ac:dyDescent="0.25">
      <c r="A10" s="3">
        <v>9</v>
      </c>
      <c r="B10" s="3">
        <f t="shared" si="0"/>
        <v>10</v>
      </c>
      <c r="C10" s="3">
        <v>17</v>
      </c>
      <c r="D10" s="3">
        <f t="shared" si="1"/>
        <v>97</v>
      </c>
      <c r="E10" s="3" t="str" cm="1">
        <f t="array" ref="E10">INDEX(Popu_data!A$2:A$254, D10)</f>
        <v>20728_4_02</v>
      </c>
      <c r="F10" s="8" cm="1">
        <f t="array" ref="F10">INDEX(Popu_data!B$2:B$254, D10)</f>
        <v>97</v>
      </c>
      <c r="G10" s="3" t="str" cm="1">
        <f t="array" ref="G10">INDEX(Popu_data!C$2:C$254, D10)</f>
        <v>3</v>
      </c>
      <c r="H10" s="3" cm="1">
        <f t="array" ref="H10">INDEX(Popu_data!D$2:D$254, D10)</f>
        <v>1</v>
      </c>
      <c r="I10" s="3" cm="1">
        <f t="array" ref="I10">INDEX(Popu_data!E$2:E$254, D10)</f>
        <v>33750</v>
      </c>
      <c r="J10" s="3" cm="1">
        <f t="array" ref="J10">INDEX(Popu_data!F$2:F$254, D10)</f>
        <v>19800</v>
      </c>
      <c r="K10" s="3" t="str" cm="1">
        <f t="array" ref="K10">INDEX(Popu_data!G$2:G$254, D10)</f>
        <v>12</v>
      </c>
    </row>
    <row r="11" spans="1:11" x14ac:dyDescent="0.25">
      <c r="A11" s="3">
        <v>10</v>
      </c>
      <c r="B11" s="3">
        <f t="shared" si="0"/>
        <v>10</v>
      </c>
      <c r="C11" s="3">
        <v>17</v>
      </c>
      <c r="D11" s="3">
        <f>MOD($C$2 + (ROW()-2)*10 - 1, 253) + 1</f>
        <v>107</v>
      </c>
      <c r="E11" s="3" t="str" cm="1">
        <f t="array" ref="E11">INDEX(Popu_data!A$2:A$254, D11)</f>
        <v>21188_4_02</v>
      </c>
      <c r="F11" s="8" cm="1">
        <f t="array" ref="F11">INDEX(Popu_data!B$2:B$254, D11)</f>
        <v>107</v>
      </c>
      <c r="G11" s="3" t="str" cm="1">
        <f t="array" ref="G11">INDEX(Popu_data!C$2:C$254, D11)</f>
        <v>3</v>
      </c>
      <c r="H11" s="3" cm="1">
        <f t="array" ref="H11">INDEX(Popu_data!D$2:D$254, D11)</f>
        <v>8</v>
      </c>
      <c r="I11" s="3" cm="1">
        <f t="array" ref="I11">INDEX(Popu_data!E$2:E$254, D11)</f>
        <v>19775</v>
      </c>
      <c r="J11" s="3" cm="1">
        <f t="array" ref="J11">INDEX(Popu_data!F$2:F$254, D11)</f>
        <v>7680</v>
      </c>
      <c r="K11" s="3" t="str" cm="1">
        <f t="array" ref="K11">INDEX(Popu_data!G$2:G$254, D11)</f>
        <v>07</v>
      </c>
    </row>
    <row r="12" spans="1:11" x14ac:dyDescent="0.25">
      <c r="A12" s="3">
        <v>11</v>
      </c>
      <c r="B12" s="3">
        <f t="shared" si="0"/>
        <v>10</v>
      </c>
      <c r="C12" s="3">
        <v>17</v>
      </c>
      <c r="D12" s="3">
        <f t="shared" si="1"/>
        <v>117</v>
      </c>
      <c r="E12" s="3" t="str" cm="1">
        <f t="array" ref="E12">INDEX(Popu_data!A$2:A$254, D12)</f>
        <v>11078_3_01</v>
      </c>
      <c r="F12" s="8" cm="1">
        <f t="array" ref="F12">INDEX(Popu_data!B$2:B$254, D12)</f>
        <v>117</v>
      </c>
      <c r="G12" s="3" t="str" cm="1">
        <f t="array" ref="G12">INDEX(Popu_data!C$2:C$254, D12)</f>
        <v>2</v>
      </c>
      <c r="H12" s="3" cm="1">
        <f t="array" ref="H12">INDEX(Popu_data!D$2:D$254, D12)</f>
        <v>4</v>
      </c>
      <c r="I12" s="3" cm="1">
        <f t="array" ref="I12">INDEX(Popu_data!E$2:E$254, D12)</f>
        <v>12415</v>
      </c>
      <c r="J12" s="3" cm="1">
        <f t="array" ref="J12">INDEX(Popu_data!F$2:F$254, D12)</f>
        <v>22000</v>
      </c>
      <c r="K12" s="3" t="str" cm="1">
        <f t="array" ref="K12">INDEX(Popu_data!G$2:G$254, D12)</f>
        <v>07</v>
      </c>
    </row>
    <row r="13" spans="1:11" x14ac:dyDescent="0.25">
      <c r="A13" s="3">
        <v>12</v>
      </c>
      <c r="B13" s="3">
        <f t="shared" si="0"/>
        <v>10</v>
      </c>
      <c r="C13" s="3">
        <v>17</v>
      </c>
      <c r="D13" s="3">
        <f t="shared" si="1"/>
        <v>127</v>
      </c>
      <c r="E13" s="3" t="str" cm="1">
        <f t="array" ref="E13">INDEX(Popu_data!A$2:A$254, D13)</f>
        <v>13075_2_01</v>
      </c>
      <c r="F13" s="8" cm="1">
        <f t="array" ref="F13">INDEX(Popu_data!B$2:B$254, D13)</f>
        <v>127</v>
      </c>
      <c r="G13" s="3" t="str" cm="1">
        <f t="array" ref="G13">INDEX(Popu_data!C$2:C$254, D13)</f>
        <v>3</v>
      </c>
      <c r="H13" s="3" cm="1">
        <f t="array" ref="H13">INDEX(Popu_data!D$2:D$254, D13)</f>
        <v>6</v>
      </c>
      <c r="I13" s="3" cm="1">
        <f t="array" ref="I13">INDEX(Popu_data!E$2:E$254, D13)</f>
        <v>7925</v>
      </c>
      <c r="J13" s="3" cm="1">
        <f t="array" ref="J13">INDEX(Popu_data!F$2:F$254, D13)</f>
        <v>6500</v>
      </c>
      <c r="K13" s="3" t="str" cm="1">
        <f t="array" ref="K13">INDEX(Popu_data!G$2:G$254, D13)</f>
        <v>10</v>
      </c>
    </row>
    <row r="14" spans="1:11" x14ac:dyDescent="0.25">
      <c r="A14" s="3">
        <v>13</v>
      </c>
      <c r="B14" s="3">
        <f t="shared" si="0"/>
        <v>10</v>
      </c>
      <c r="C14" s="3">
        <v>17</v>
      </c>
      <c r="D14" s="3">
        <f t="shared" si="1"/>
        <v>137</v>
      </c>
      <c r="E14" s="3" t="str" cm="1">
        <f t="array" ref="E14">INDEX(Popu_data!A$2:A$254, D14)</f>
        <v>12432_2_02</v>
      </c>
      <c r="F14" s="8" cm="1">
        <f t="array" ref="F14">INDEX(Popu_data!B$2:B$254, D14)</f>
        <v>137</v>
      </c>
      <c r="G14" s="3" t="str" cm="1">
        <f t="array" ref="G14">INDEX(Popu_data!C$2:C$254, D14)</f>
        <v>1</v>
      </c>
      <c r="H14" s="3" cm="1">
        <f t="array" ref="H14">INDEX(Popu_data!D$2:D$254, D14)</f>
        <v>3</v>
      </c>
      <c r="I14" s="3" cm="1">
        <f t="array" ref="I14">INDEX(Popu_data!E$2:E$254, D14)</f>
        <v>9217</v>
      </c>
      <c r="J14" s="3" cm="1">
        <f t="array" ref="J14">INDEX(Popu_data!F$2:F$254, D14)</f>
        <v>5000</v>
      </c>
      <c r="K14" s="3" t="str" cm="1">
        <f t="array" ref="K14">INDEX(Popu_data!G$2:G$254, D14)</f>
        <v>10</v>
      </c>
    </row>
    <row r="15" spans="1:11" x14ac:dyDescent="0.25">
      <c r="A15" s="3">
        <v>14</v>
      </c>
      <c r="B15" s="3">
        <f t="shared" si="0"/>
        <v>10</v>
      </c>
      <c r="C15" s="3">
        <v>17</v>
      </c>
      <c r="D15" s="3">
        <f t="shared" si="1"/>
        <v>147</v>
      </c>
      <c r="E15" s="3" t="str" cm="1">
        <f t="array" ref="E15">INDEX(Popu_data!A$2:A$254, D15)</f>
        <v>23640_2_01</v>
      </c>
      <c r="F15" s="8" cm="1">
        <f t="array" ref="F15">INDEX(Popu_data!B$2:B$254, D15)</f>
        <v>147</v>
      </c>
      <c r="G15" s="3" t="str" cm="1">
        <f t="array" ref="G15">INDEX(Popu_data!C$2:C$254, D15)</f>
        <v>9</v>
      </c>
      <c r="H15" s="3" cm="1">
        <f t="array" ref="H15">INDEX(Popu_data!D$2:D$254, D15)</f>
        <v>2</v>
      </c>
      <c r="I15" s="3" cm="1">
        <f t="array" ref="I15">INDEX(Popu_data!E$2:E$254, D15)</f>
        <v>8167</v>
      </c>
      <c r="J15" s="3" cm="1">
        <f t="array" ref="J15">INDEX(Popu_data!F$2:F$254, D15)</f>
        <v>12500</v>
      </c>
      <c r="K15" s="3" t="str" cm="1">
        <f t="array" ref="K15">INDEX(Popu_data!G$2:G$254, D15)</f>
        <v>08</v>
      </c>
    </row>
    <row r="16" spans="1:11" x14ac:dyDescent="0.25">
      <c r="A16" s="3">
        <v>15</v>
      </c>
      <c r="B16" s="3">
        <f t="shared" si="0"/>
        <v>10</v>
      </c>
      <c r="C16" s="3">
        <v>17</v>
      </c>
      <c r="D16" s="3">
        <f t="shared" si="1"/>
        <v>157</v>
      </c>
      <c r="E16" s="3" t="str" cm="1">
        <f t="array" ref="E16">INDEX(Popu_data!A$2:A$254, D16)</f>
        <v>12236_3_01</v>
      </c>
      <c r="F16" s="8" cm="1">
        <f t="array" ref="F16">INDEX(Popu_data!B$2:B$254, D16)</f>
        <v>157</v>
      </c>
      <c r="G16" s="3" t="str" cm="1">
        <f t="array" ref="G16">INDEX(Popu_data!C$2:C$254, D16)</f>
        <v>2</v>
      </c>
      <c r="H16" s="3" cm="1">
        <f t="array" ref="H16">INDEX(Popu_data!D$2:D$254, D16)</f>
        <v>4</v>
      </c>
      <c r="I16" s="3" cm="1">
        <f t="array" ref="I16">INDEX(Popu_data!E$2:E$254, D16)</f>
        <v>10000</v>
      </c>
      <c r="J16" s="3" cm="1">
        <f t="array" ref="J16">INDEX(Popu_data!F$2:F$254, D16)</f>
        <v>10500</v>
      </c>
      <c r="K16" s="3" t="str" cm="1">
        <f t="array" ref="K16">INDEX(Popu_data!G$2:G$254, D16)</f>
        <v>07</v>
      </c>
    </row>
    <row r="17" spans="1:11" x14ac:dyDescent="0.25">
      <c r="A17" s="3">
        <v>16</v>
      </c>
      <c r="B17" s="3">
        <f t="shared" si="0"/>
        <v>10</v>
      </c>
      <c r="C17" s="3">
        <v>17</v>
      </c>
      <c r="D17" s="3">
        <f t="shared" si="1"/>
        <v>167</v>
      </c>
      <c r="E17" s="3" t="str" cm="1">
        <f t="array" ref="E17">INDEX(Popu_data!A$2:A$254, D17)</f>
        <v>16240_3_01</v>
      </c>
      <c r="F17" s="8" cm="1">
        <f t="array" ref="F17">INDEX(Popu_data!B$2:B$254, D17)</f>
        <v>167</v>
      </c>
      <c r="G17" s="3" t="str" cm="1">
        <f t="array" ref="G17">INDEX(Popu_data!C$2:C$254, D17)</f>
        <v>3</v>
      </c>
      <c r="H17" s="3" cm="1">
        <f t="array" ref="H17">INDEX(Popu_data!D$2:D$254, D17)</f>
        <v>5</v>
      </c>
      <c r="I17" s="3" cm="1">
        <f t="array" ref="I17">INDEX(Popu_data!E$2:E$254, D17)</f>
        <v>13048</v>
      </c>
      <c r="J17" s="3" cm="1">
        <f t="array" ref="J17">INDEX(Popu_data!F$2:F$254, D17)</f>
        <v>18300</v>
      </c>
      <c r="K17" s="3" t="str" cm="1">
        <f t="array" ref="K17">INDEX(Popu_data!G$2:G$254, D17)</f>
        <v>07</v>
      </c>
    </row>
    <row r="18" spans="1:11" x14ac:dyDescent="0.25">
      <c r="A18" s="3">
        <v>17</v>
      </c>
      <c r="B18" s="3">
        <f t="shared" si="0"/>
        <v>10</v>
      </c>
      <c r="C18" s="3">
        <v>17</v>
      </c>
      <c r="D18" s="3">
        <f t="shared" si="1"/>
        <v>177</v>
      </c>
      <c r="E18" s="3" t="str" cm="1">
        <f t="array" ref="E18">INDEX(Popu_data!A$2:A$254, D18)</f>
        <v>24371_1_01</v>
      </c>
      <c r="F18" s="8" cm="1">
        <f t="array" ref="F18">INDEX(Popu_data!B$2:B$254, D18)</f>
        <v>177</v>
      </c>
      <c r="G18" s="3" t="str" cm="1">
        <f t="array" ref="G18">INDEX(Popu_data!C$2:C$254, D18)</f>
        <v>9</v>
      </c>
      <c r="H18" s="3" cm="1">
        <f t="array" ref="H18">INDEX(Popu_data!D$2:D$254, D18)</f>
        <v>7</v>
      </c>
      <c r="I18" s="3" cm="1">
        <f t="array" ref="I18">INDEX(Popu_data!E$2:E$254, D18)</f>
        <v>17033</v>
      </c>
      <c r="J18" s="3" cm="1">
        <f t="array" ref="J18">INDEX(Popu_data!F$2:F$254, D18)</f>
        <v>45000</v>
      </c>
      <c r="K18" s="3" t="str" cm="1">
        <f t="array" ref="K18">INDEX(Popu_data!G$2:G$254, D18)</f>
        <v>13</v>
      </c>
    </row>
    <row r="19" spans="1:11" x14ac:dyDescent="0.25">
      <c r="A19" s="3">
        <v>18</v>
      </c>
      <c r="B19" s="3">
        <f t="shared" si="0"/>
        <v>10</v>
      </c>
      <c r="C19" s="3">
        <v>17</v>
      </c>
      <c r="D19" s="3">
        <f t="shared" si="1"/>
        <v>187</v>
      </c>
      <c r="E19" s="3" t="str" cm="1">
        <f t="array" ref="E19">INDEX(Popu_data!A$2:A$254, D19)</f>
        <v>22977_4_01</v>
      </c>
      <c r="F19" s="8" cm="1">
        <f t="array" ref="F19">INDEX(Popu_data!B$2:B$254, D19)</f>
        <v>187</v>
      </c>
      <c r="G19" s="3" t="str" cm="1">
        <f t="array" ref="G19">INDEX(Popu_data!C$2:C$254, D19)</f>
        <v>9</v>
      </c>
      <c r="H19" s="3" cm="1">
        <f t="array" ref="H19">INDEX(Popu_data!D$2:D$254, D19)</f>
        <v>1</v>
      </c>
      <c r="I19" s="3" cm="1">
        <f t="array" ref="I19">INDEX(Popu_data!E$2:E$254, D19)</f>
        <v>20452</v>
      </c>
      <c r="J19" s="3" cm="1">
        <f t="array" ref="J19">INDEX(Popu_data!F$2:F$254, D19)</f>
        <v>2000</v>
      </c>
      <c r="K19" s="3" t="str" cm="1">
        <f t="array" ref="K19">INDEX(Popu_data!G$2:G$254, D19)</f>
        <v>06</v>
      </c>
    </row>
    <row r="20" spans="1:11" x14ac:dyDescent="0.25">
      <c r="A20" s="3">
        <v>19</v>
      </c>
      <c r="B20" s="3">
        <f t="shared" si="0"/>
        <v>10</v>
      </c>
      <c r="C20" s="3">
        <v>17</v>
      </c>
      <c r="D20" s="3">
        <f t="shared" si="1"/>
        <v>197</v>
      </c>
      <c r="E20" s="3" t="str" cm="1">
        <f t="array" ref="E20">INDEX(Popu_data!A$2:A$254, D20)</f>
        <v>22858_4_02</v>
      </c>
      <c r="F20" s="8" cm="1">
        <f t="array" ref="F20">INDEX(Popu_data!B$2:B$254, D20)</f>
        <v>197</v>
      </c>
      <c r="G20" s="3" t="str" cm="1">
        <f t="array" ref="G20">INDEX(Popu_data!C$2:C$254, D20)</f>
        <v>1</v>
      </c>
      <c r="H20" s="3" cm="1">
        <f t="array" ref="H20">INDEX(Popu_data!D$2:D$254, D20)</f>
        <v>1</v>
      </c>
      <c r="I20" s="3" cm="1">
        <f t="array" ref="I20">INDEX(Popu_data!E$2:E$254, D20)</f>
        <v>5450</v>
      </c>
      <c r="J20" s="3" cm="1">
        <f t="array" ref="J20">INDEX(Popu_data!F$2:F$254, D20)</f>
        <v>0</v>
      </c>
      <c r="K20" s="3" t="str" cm="1">
        <f t="array" ref="K20">INDEX(Popu_data!G$2:G$254, D20)</f>
        <v>06</v>
      </c>
    </row>
    <row r="21" spans="1:11" x14ac:dyDescent="0.25">
      <c r="A21" s="3">
        <v>20</v>
      </c>
      <c r="B21" s="3">
        <f t="shared" si="0"/>
        <v>10</v>
      </c>
      <c r="C21" s="3">
        <v>17</v>
      </c>
      <c r="D21" s="3">
        <f t="shared" si="1"/>
        <v>207</v>
      </c>
      <c r="E21" s="3" t="str" cm="1">
        <f t="array" ref="E21">INDEX(Popu_data!A$2:A$254, D21)</f>
        <v>16950_1_01</v>
      </c>
      <c r="F21" s="8" cm="1">
        <f t="array" ref="F21">INDEX(Popu_data!B$2:B$254, D21)</f>
        <v>207</v>
      </c>
      <c r="G21" s="3" t="str" cm="1">
        <f t="array" ref="G21">INDEX(Popu_data!C$2:C$254, D21)</f>
        <v>2</v>
      </c>
      <c r="H21" s="3" cm="1">
        <f t="array" ref="H21">INDEX(Popu_data!D$2:D$254, D21)</f>
        <v>6</v>
      </c>
      <c r="I21" s="3" cm="1">
        <f t="array" ref="I21">INDEX(Popu_data!E$2:E$254, D21)</f>
        <v>10050</v>
      </c>
      <c r="J21" s="3" cm="1">
        <f t="array" ref="J21">INDEX(Popu_data!F$2:F$254, D21)</f>
        <v>6500</v>
      </c>
      <c r="K21" s="3" t="str" cm="1">
        <f t="array" ref="K21">INDEX(Popu_data!G$2:G$254, D21)</f>
        <v>13</v>
      </c>
    </row>
    <row r="22" spans="1:11" x14ac:dyDescent="0.25">
      <c r="A22" s="3">
        <v>21</v>
      </c>
      <c r="B22" s="3">
        <f t="shared" si="0"/>
        <v>10</v>
      </c>
      <c r="C22" s="3">
        <v>17</v>
      </c>
      <c r="D22" s="3">
        <f t="shared" si="1"/>
        <v>217</v>
      </c>
      <c r="E22" s="3" t="str" cm="1">
        <f t="array" ref="E22">INDEX(Popu_data!A$2:A$254, D22)</f>
        <v>13701_1_01</v>
      </c>
      <c r="F22" s="8" cm="1">
        <f t="array" ref="F22">INDEX(Popu_data!B$2:B$254, D22)</f>
        <v>217</v>
      </c>
      <c r="G22" s="3" t="str" cm="1">
        <f t="array" ref="G22">INDEX(Popu_data!C$2:C$254, D22)</f>
        <v>3</v>
      </c>
      <c r="H22" s="3" cm="1">
        <f t="array" ref="H22">INDEX(Popu_data!D$2:D$254, D22)</f>
        <v>4</v>
      </c>
      <c r="I22" s="3" cm="1">
        <f t="array" ref="I22">INDEX(Popu_data!E$2:E$254, D22)</f>
        <v>9050</v>
      </c>
      <c r="J22" s="3" cm="1">
        <f t="array" ref="J22">INDEX(Popu_data!F$2:F$254, D22)</f>
        <v>7000</v>
      </c>
      <c r="K22" s="3" t="str" cm="1">
        <f t="array" ref="K22">INDEX(Popu_data!G$2:G$254, D22)</f>
        <v>10</v>
      </c>
    </row>
    <row r="23" spans="1:11" x14ac:dyDescent="0.25">
      <c r="A23" s="3">
        <v>22</v>
      </c>
      <c r="B23" s="3">
        <f t="shared" si="0"/>
        <v>10</v>
      </c>
      <c r="C23" s="3">
        <v>17</v>
      </c>
      <c r="D23" s="3">
        <f t="shared" si="1"/>
        <v>227</v>
      </c>
      <c r="E23" s="3" t="str" cm="1">
        <f t="array" ref="E23">INDEX(Popu_data!A$2:A$254, D23)</f>
        <v>10485_2_01</v>
      </c>
      <c r="F23" s="8" cm="1">
        <f t="array" ref="F23">INDEX(Popu_data!B$2:B$254, D23)</f>
        <v>227</v>
      </c>
      <c r="G23" s="3" t="str" cm="1">
        <f t="array" ref="G23">INDEX(Popu_data!C$2:C$254, D23)</f>
        <v>2</v>
      </c>
      <c r="H23" s="3" cm="1">
        <f t="array" ref="H23">INDEX(Popu_data!D$2:D$254, D23)</f>
        <v>3</v>
      </c>
      <c r="I23" s="3" cm="1">
        <f t="array" ref="I23">INDEX(Popu_data!E$2:E$254, D23)</f>
        <v>7892</v>
      </c>
      <c r="J23" s="3" cm="1">
        <f t="array" ref="J23">INDEX(Popu_data!F$2:F$254, D23)</f>
        <v>6000</v>
      </c>
      <c r="K23" s="3" t="str" cm="1">
        <f t="array" ref="K23">INDEX(Popu_data!G$2:G$254, D23)</f>
        <v>08</v>
      </c>
    </row>
    <row r="24" spans="1:11" x14ac:dyDescent="0.25">
      <c r="A24" s="3">
        <v>23</v>
      </c>
      <c r="B24" s="3">
        <f t="shared" si="0"/>
        <v>10</v>
      </c>
      <c r="C24" s="3">
        <v>17</v>
      </c>
      <c r="D24" s="3">
        <f t="shared" si="1"/>
        <v>237</v>
      </c>
      <c r="E24" s="3" t="str" cm="1">
        <f t="array" ref="E24">INDEX(Popu_data!A$2:A$254, D24)</f>
        <v>21325_2_01</v>
      </c>
      <c r="F24" s="8" cm="1">
        <f t="array" ref="F24">INDEX(Popu_data!B$2:B$254, D24)</f>
        <v>237</v>
      </c>
      <c r="G24" s="3" t="str" cm="1">
        <f t="array" ref="G24">INDEX(Popu_data!C$2:C$254, D24)</f>
        <v>9</v>
      </c>
      <c r="H24" s="3" cm="1">
        <f t="array" ref="H24">INDEX(Popu_data!D$2:D$254, D24)</f>
        <v>4</v>
      </c>
      <c r="I24" s="3" cm="1">
        <f t="array" ref="I24">INDEX(Popu_data!E$2:E$254, D24)</f>
        <v>35667</v>
      </c>
      <c r="J24" s="3" cm="1">
        <f t="array" ref="J24">INDEX(Popu_data!F$2:F$254, D24)</f>
        <v>25000</v>
      </c>
      <c r="K24" s="3" t="str" cm="1">
        <f t="array" ref="K24">INDEX(Popu_data!G$2:G$254, D24)</f>
        <v>12</v>
      </c>
    </row>
    <row r="25" spans="1:11" x14ac:dyDescent="0.25">
      <c r="A25" s="3">
        <v>24</v>
      </c>
      <c r="B25" s="3">
        <f t="shared" si="0"/>
        <v>10</v>
      </c>
      <c r="C25" s="3">
        <v>17</v>
      </c>
      <c r="D25" s="3">
        <f t="shared" si="1"/>
        <v>247</v>
      </c>
      <c r="E25" s="3" t="str" cm="1">
        <f t="array" ref="E25">INDEX(Popu_data!A$2:A$254, D25)</f>
        <v>14627_3_01</v>
      </c>
      <c r="F25" s="8" cm="1">
        <f t="array" ref="F25">INDEX(Popu_data!B$2:B$254, D25)</f>
        <v>247</v>
      </c>
      <c r="G25" s="3" t="str" cm="1">
        <f t="array" ref="G25">INDEX(Popu_data!C$2:C$254, D25)</f>
        <v>1</v>
      </c>
      <c r="H25" s="3" cm="1">
        <f t="array" ref="H25">INDEX(Popu_data!D$2:D$254, D25)</f>
        <v>5</v>
      </c>
      <c r="I25" s="3" cm="1">
        <f t="array" ref="I25">INDEX(Popu_data!E$2:E$254, D25)</f>
        <v>6767</v>
      </c>
      <c r="J25" s="3" cm="1">
        <f t="array" ref="J25">INDEX(Popu_data!F$2:F$254, D25)</f>
        <v>8000</v>
      </c>
      <c r="K25" s="3" t="str" cm="1">
        <f t="array" ref="K25">INDEX(Popu_data!G$2:G$254, D25)</f>
        <v>07</v>
      </c>
    </row>
    <row r="26" spans="1:11" x14ac:dyDescent="0.25">
      <c r="A26" s="3">
        <v>25</v>
      </c>
      <c r="B26" s="3">
        <f t="shared" si="0"/>
        <v>10</v>
      </c>
      <c r="C26" s="3">
        <v>17</v>
      </c>
      <c r="D26" s="3">
        <f t="shared" si="1"/>
        <v>4</v>
      </c>
      <c r="E26" s="3" t="str" cm="1">
        <f t="array" ref="E26">INDEX(Popu_data!A$2:A$254, D26)</f>
        <v>11812_2_02</v>
      </c>
      <c r="F26" s="8" cm="1">
        <f t="array" ref="F26">INDEX(Popu_data!B$2:B$254, D26)</f>
        <v>4</v>
      </c>
      <c r="G26" s="3" t="str" cm="1">
        <f t="array" ref="G26">INDEX(Popu_data!C$2:C$254, D26)</f>
        <v>3</v>
      </c>
      <c r="H26" s="3" cm="1">
        <f t="array" ref="H26">INDEX(Popu_data!D$2:D$254, D26)</f>
        <v>4</v>
      </c>
      <c r="I26" s="3" cm="1">
        <f t="array" ref="I26">INDEX(Popu_data!E$2:E$254, D26)</f>
        <v>7483</v>
      </c>
      <c r="J26" s="3" cm="1">
        <f t="array" ref="J26">INDEX(Popu_data!F$2:F$254, D26)</f>
        <v>5000</v>
      </c>
      <c r="K26" s="3" t="str" cm="1">
        <f t="array" ref="K26">INDEX(Popu_data!G$2:G$254, D26)</f>
        <v>08</v>
      </c>
    </row>
    <row r="28" spans="1:11" x14ac:dyDescent="0.25">
      <c r="F28" s="17" t="s">
        <v>324</v>
      </c>
      <c r="G28">
        <v>253</v>
      </c>
    </row>
    <row r="29" spans="1:11" x14ac:dyDescent="0.25">
      <c r="F29" s="17" t="s">
        <v>325</v>
      </c>
      <c r="G29">
        <v>25</v>
      </c>
    </row>
    <row r="30" spans="1:11" x14ac:dyDescent="0.25">
      <c r="A30" s="1"/>
      <c r="B30" s="1"/>
      <c r="C30" s="1"/>
      <c r="D30" s="1"/>
      <c r="E30" s="1"/>
      <c r="F30" s="23" t="s">
        <v>351</v>
      </c>
    </row>
    <row r="31" spans="1:11" ht="30" x14ac:dyDescent="0.25">
      <c r="F31" s="24" t="s">
        <v>327</v>
      </c>
      <c r="G31" s="24" t="s">
        <v>332</v>
      </c>
      <c r="H31" s="24" t="s">
        <v>328</v>
      </c>
      <c r="I31" s="24" t="s">
        <v>330</v>
      </c>
      <c r="J31" s="24" t="s">
        <v>329</v>
      </c>
      <c r="K31" s="24" t="s">
        <v>331</v>
      </c>
    </row>
    <row r="32" spans="1:11" x14ac:dyDescent="0.25">
      <c r="F32">
        <f>SUM(H2:H26)*G28/G29</f>
        <v>1062.5999999999999</v>
      </c>
      <c r="G32">
        <f>SUM(H2:H26)/G29</f>
        <v>4.2</v>
      </c>
      <c r="H32" s="16">
        <f>SUM(I2:I26)/G29</f>
        <v>12536.16</v>
      </c>
      <c r="I32" s="16">
        <f>SUM(I2:I26) / SUM(H2:H26)</f>
        <v>2984.8</v>
      </c>
      <c r="J32" s="16">
        <f>SUM(J2:J26)/SUM(H2:H26)</f>
        <v>2841.609523809524</v>
      </c>
      <c r="K32">
        <f>COUNTIF(G2:G26,1)/25</f>
        <v>0.16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4"/>
  <sheetViews>
    <sheetView workbookViewId="0">
      <selection activeCell="E14" sqref="E14"/>
    </sheetView>
  </sheetViews>
  <sheetFormatPr defaultRowHeight="15" x14ac:dyDescent="0.25"/>
  <cols>
    <col min="1" max="1" width="17.28515625" customWidth="1"/>
  </cols>
  <sheetData>
    <row r="1" spans="1:10" ht="75" x14ac:dyDescent="0.25">
      <c r="A1" s="29" t="s">
        <v>0</v>
      </c>
      <c r="B1" s="29" t="s">
        <v>279</v>
      </c>
      <c r="C1" s="29" t="s">
        <v>1</v>
      </c>
      <c r="D1" s="29" t="s">
        <v>280</v>
      </c>
      <c r="E1" s="29" t="s">
        <v>278</v>
      </c>
      <c r="F1" s="29" t="s">
        <v>281</v>
      </c>
      <c r="G1" s="29" t="s">
        <v>282</v>
      </c>
      <c r="H1" s="33" t="s">
        <v>273</v>
      </c>
      <c r="I1" s="37" t="s">
        <v>274</v>
      </c>
      <c r="J1" s="33" t="s">
        <v>283</v>
      </c>
    </row>
    <row r="2" spans="1:10" x14ac:dyDescent="0.25">
      <c r="A2" s="3" t="s">
        <v>189</v>
      </c>
      <c r="B2" s="3">
        <v>175</v>
      </c>
      <c r="C2" s="3" t="s">
        <v>3</v>
      </c>
      <c r="D2" s="3">
        <v>4</v>
      </c>
      <c r="E2" s="3">
        <v>6167</v>
      </c>
      <c r="F2" s="3">
        <v>10000</v>
      </c>
      <c r="G2" s="3" t="s">
        <v>10</v>
      </c>
      <c r="H2" s="3">
        <f>COUNTIF(Popu_data!C:C, C2)</f>
        <v>75</v>
      </c>
      <c r="I2" s="5">
        <f>H2/253*25</f>
        <v>7.4110671936758896</v>
      </c>
      <c r="J2" s="3">
        <v>1.9549966531891338E-2</v>
      </c>
    </row>
    <row r="3" spans="1:10" x14ac:dyDescent="0.25">
      <c r="A3" s="3" t="s">
        <v>121</v>
      </c>
      <c r="B3" s="3">
        <v>107</v>
      </c>
      <c r="C3" s="3" t="s">
        <v>6</v>
      </c>
      <c r="D3" s="3">
        <v>8</v>
      </c>
      <c r="E3" s="3">
        <v>19775</v>
      </c>
      <c r="F3" s="3">
        <v>7680</v>
      </c>
      <c r="G3" s="3" t="s">
        <v>7</v>
      </c>
      <c r="H3" s="3">
        <f>COUNTIF(Popu_data!C:C, C3)</f>
        <v>100</v>
      </c>
      <c r="I3" s="5">
        <f>H3/253*25</f>
        <v>9.8814229249011856</v>
      </c>
      <c r="J3" s="3">
        <v>4.6685745376898735E-3</v>
      </c>
    </row>
    <row r="4" spans="1:10" x14ac:dyDescent="0.25">
      <c r="A4" s="3" t="s">
        <v>251</v>
      </c>
      <c r="B4" s="3">
        <v>237</v>
      </c>
      <c r="C4" s="3" t="s">
        <v>3</v>
      </c>
      <c r="D4" s="3">
        <v>4</v>
      </c>
      <c r="E4" s="3">
        <v>35667</v>
      </c>
      <c r="F4" s="3">
        <v>25000</v>
      </c>
      <c r="G4" s="3" t="s">
        <v>4</v>
      </c>
      <c r="H4" s="3">
        <f>COUNTIF(Popu_data!C:C, C4)</f>
        <v>75</v>
      </c>
      <c r="I4" s="5">
        <f>H4/253*25</f>
        <v>7.4110671936758896</v>
      </c>
      <c r="J4" s="3">
        <v>3.204341539933464E-2</v>
      </c>
    </row>
    <row r="5" spans="1:10" x14ac:dyDescent="0.25">
      <c r="A5" s="3" t="s">
        <v>116</v>
      </c>
      <c r="B5" s="3">
        <v>102</v>
      </c>
      <c r="C5" s="3" t="s">
        <v>6</v>
      </c>
      <c r="D5" s="3">
        <v>5</v>
      </c>
      <c r="E5" s="3">
        <v>16150</v>
      </c>
      <c r="F5" s="3">
        <v>7000</v>
      </c>
      <c r="G5" s="3" t="s">
        <v>4</v>
      </c>
      <c r="H5" s="3">
        <f>COUNTIF(Popu_data!C:C, C5)</f>
        <v>100</v>
      </c>
      <c r="I5" s="5">
        <f>H5/253*25</f>
        <v>9.8814229249011856</v>
      </c>
      <c r="J5" s="3">
        <v>1.0703971846635185E-2</v>
      </c>
    </row>
    <row r="6" spans="1:10" x14ac:dyDescent="0.25">
      <c r="A6" s="3" t="s">
        <v>53</v>
      </c>
      <c r="B6" s="3">
        <v>39</v>
      </c>
      <c r="C6" s="3" t="s">
        <v>3</v>
      </c>
      <c r="D6" s="3">
        <v>1</v>
      </c>
      <c r="E6" s="3">
        <v>6833</v>
      </c>
      <c r="F6" s="3">
        <v>3000</v>
      </c>
      <c r="G6" s="3" t="s">
        <v>14</v>
      </c>
      <c r="H6" s="3">
        <f>COUNTIF(Popu_data!C:C, C6)</f>
        <v>75</v>
      </c>
      <c r="I6" s="5">
        <f>H6/253*25</f>
        <v>7.4110671936758896</v>
      </c>
      <c r="J6" s="3">
        <v>4.6206863984132984E-2</v>
      </c>
    </row>
    <row r="7" spans="1:10" x14ac:dyDescent="0.25">
      <c r="A7" s="3" t="s">
        <v>94</v>
      </c>
      <c r="B7" s="3">
        <v>80</v>
      </c>
      <c r="C7" s="3" t="s">
        <v>13</v>
      </c>
      <c r="D7" s="3">
        <v>5</v>
      </c>
      <c r="E7" s="3">
        <v>9283</v>
      </c>
      <c r="F7" s="3">
        <v>6500</v>
      </c>
      <c r="G7" s="3" t="s">
        <v>7</v>
      </c>
      <c r="H7" s="3">
        <f>COUNTIF(Popu_data!C:C, C7)</f>
        <v>35</v>
      </c>
      <c r="I7" s="5">
        <v>4</v>
      </c>
      <c r="J7" s="3">
        <v>7.9655520257977508E-2</v>
      </c>
    </row>
    <row r="8" spans="1:10" x14ac:dyDescent="0.25">
      <c r="A8" s="3" t="s">
        <v>256</v>
      </c>
      <c r="B8" s="3">
        <v>242</v>
      </c>
      <c r="C8" s="3" t="s">
        <v>3</v>
      </c>
      <c r="D8" s="3">
        <v>2</v>
      </c>
      <c r="E8" s="3">
        <v>12608</v>
      </c>
      <c r="F8" s="3">
        <v>5200</v>
      </c>
      <c r="G8" s="3" t="s">
        <v>4</v>
      </c>
      <c r="H8" s="3">
        <f>COUNTIF(Popu_data!C:C, C8)</f>
        <v>75</v>
      </c>
      <c r="I8" s="5">
        <f>H8/253*25</f>
        <v>7.4110671936758896</v>
      </c>
      <c r="J8" s="3">
        <v>7.4306196520590229E-2</v>
      </c>
    </row>
    <row r="9" spans="1:10" x14ac:dyDescent="0.25">
      <c r="A9" s="3" t="s">
        <v>21</v>
      </c>
      <c r="B9" s="3">
        <v>11</v>
      </c>
      <c r="C9" s="3" t="s">
        <v>6</v>
      </c>
      <c r="D9" s="3">
        <v>4</v>
      </c>
      <c r="E9" s="3">
        <v>13900</v>
      </c>
      <c r="F9" s="3">
        <v>11000</v>
      </c>
      <c r="G9" s="3" t="s">
        <v>4</v>
      </c>
      <c r="H9" s="3">
        <f>COUNTIF(Popu_data!C:C, C9)</f>
        <v>100</v>
      </c>
      <c r="I9" s="5">
        <f>H9/253*25</f>
        <v>9.8814229249011856</v>
      </c>
      <c r="J9" s="3">
        <v>1.2416981543887151E-2</v>
      </c>
    </row>
    <row r="10" spans="1:10" x14ac:dyDescent="0.25">
      <c r="A10" s="3" t="s">
        <v>204</v>
      </c>
      <c r="B10" s="3">
        <v>190</v>
      </c>
      <c r="C10" s="3" t="s">
        <v>6</v>
      </c>
      <c r="D10" s="3">
        <v>3</v>
      </c>
      <c r="E10" s="3">
        <v>5436</v>
      </c>
      <c r="F10" s="3">
        <v>4730</v>
      </c>
      <c r="G10" s="3" t="s">
        <v>4</v>
      </c>
      <c r="H10" s="3">
        <f>COUNTIF(Popu_data!C:C, C10)</f>
        <v>100</v>
      </c>
      <c r="I10" s="5">
        <f>H10/253*25</f>
        <v>9.8814229249011856</v>
      </c>
      <c r="J10" s="3">
        <v>2.5380163669997291E-2</v>
      </c>
    </row>
    <row r="11" spans="1:10" x14ac:dyDescent="0.25">
      <c r="A11" s="3" t="s">
        <v>108</v>
      </c>
      <c r="B11" s="3">
        <v>94</v>
      </c>
      <c r="C11" s="3" t="s">
        <v>13</v>
      </c>
      <c r="D11" s="3">
        <v>4</v>
      </c>
      <c r="E11" s="3">
        <v>10217</v>
      </c>
      <c r="F11" s="3">
        <v>13500</v>
      </c>
      <c r="G11" s="3" t="s">
        <v>45</v>
      </c>
      <c r="H11" s="3">
        <f>COUNTIF(Popu_data!C:C, C11)</f>
        <v>35</v>
      </c>
      <c r="I11" s="5">
        <v>4</v>
      </c>
      <c r="J11" s="3">
        <v>0.12349741906932443</v>
      </c>
    </row>
    <row r="12" spans="1:10" x14ac:dyDescent="0.25">
      <c r="A12" s="3" t="s">
        <v>102</v>
      </c>
      <c r="B12" s="3">
        <v>88</v>
      </c>
      <c r="C12" s="3" t="s">
        <v>6</v>
      </c>
      <c r="D12" s="3">
        <v>1</v>
      </c>
      <c r="E12" s="3">
        <v>7125</v>
      </c>
      <c r="F12" s="3">
        <v>1500</v>
      </c>
      <c r="G12" s="3" t="s">
        <v>42</v>
      </c>
      <c r="H12" s="3">
        <f>COUNTIF(Popu_data!C:C, C12)</f>
        <v>100</v>
      </c>
      <c r="I12" s="5">
        <f t="shared" ref="I12:I42" si="0">H12/253*25</f>
        <v>9.8814229249011856</v>
      </c>
      <c r="J12" s="3">
        <v>2.5970925928394339E-2</v>
      </c>
    </row>
    <row r="13" spans="1:10" x14ac:dyDescent="0.25">
      <c r="A13" s="3" t="s">
        <v>5</v>
      </c>
      <c r="B13" s="3">
        <v>2</v>
      </c>
      <c r="C13" s="3" t="s">
        <v>6</v>
      </c>
      <c r="D13" s="3">
        <v>1</v>
      </c>
      <c r="E13" s="3">
        <v>13889</v>
      </c>
      <c r="F13" s="3">
        <v>17800</v>
      </c>
      <c r="G13" s="3" t="s">
        <v>7</v>
      </c>
      <c r="H13" s="3">
        <f>COUNTIF(Popu_data!C:C, C13)</f>
        <v>100</v>
      </c>
      <c r="I13" s="5">
        <f t="shared" si="0"/>
        <v>9.8814229249011856</v>
      </c>
      <c r="J13" s="3">
        <v>2.7386031119506993E-2</v>
      </c>
    </row>
    <row r="14" spans="1:10" x14ac:dyDescent="0.25">
      <c r="A14" s="3" t="s">
        <v>40</v>
      </c>
      <c r="B14" s="3">
        <v>28</v>
      </c>
      <c r="C14" s="3" t="s">
        <v>24</v>
      </c>
      <c r="D14" s="3">
        <v>1</v>
      </c>
      <c r="E14" s="3">
        <v>3817</v>
      </c>
      <c r="F14" s="3">
        <v>2000</v>
      </c>
      <c r="G14" s="3" t="s">
        <v>7</v>
      </c>
      <c r="H14" s="3">
        <f>COUNTIF(Popu_data!C:C, C14)</f>
        <v>43</v>
      </c>
      <c r="I14" s="5">
        <f t="shared" si="0"/>
        <v>4.2490118577075098</v>
      </c>
      <c r="J14" s="3">
        <v>1.9095169197068773E-2</v>
      </c>
    </row>
    <row r="15" spans="1:10" x14ac:dyDescent="0.25">
      <c r="A15" s="3" t="s">
        <v>35</v>
      </c>
      <c r="B15" s="3">
        <v>23</v>
      </c>
      <c r="C15" s="3" t="s">
        <v>6</v>
      </c>
      <c r="D15" s="3">
        <v>3</v>
      </c>
      <c r="E15" s="3">
        <v>15908</v>
      </c>
      <c r="F15" s="3">
        <v>8500</v>
      </c>
      <c r="G15" s="3" t="s">
        <v>34</v>
      </c>
      <c r="H15" s="3">
        <f>COUNTIF(Popu_data!C:C, C15)</f>
        <v>100</v>
      </c>
      <c r="I15" s="5">
        <f t="shared" si="0"/>
        <v>9.8814229249011856</v>
      </c>
      <c r="J15" s="3">
        <v>2.783504248418267E-2</v>
      </c>
    </row>
    <row r="16" spans="1:10" x14ac:dyDescent="0.25">
      <c r="A16" s="3" t="s">
        <v>59</v>
      </c>
      <c r="B16" s="3">
        <v>45</v>
      </c>
      <c r="C16" s="3" t="s">
        <v>6</v>
      </c>
      <c r="D16" s="3">
        <v>4</v>
      </c>
      <c r="E16" s="3">
        <v>13042</v>
      </c>
      <c r="F16" s="3">
        <v>7500</v>
      </c>
      <c r="G16" s="3" t="s">
        <v>7</v>
      </c>
      <c r="H16" s="3">
        <f>COUNTIF(Popu_data!C:C, C16)</f>
        <v>100</v>
      </c>
      <c r="I16" s="5">
        <f t="shared" si="0"/>
        <v>9.8814229249011856</v>
      </c>
      <c r="J16" s="3">
        <v>3.7487648352550251E-2</v>
      </c>
    </row>
    <row r="17" spans="1:10" x14ac:dyDescent="0.25">
      <c r="A17" s="3" t="s">
        <v>68</v>
      </c>
      <c r="B17" s="3">
        <v>54</v>
      </c>
      <c r="C17" s="3" t="s">
        <v>6</v>
      </c>
      <c r="D17" s="3">
        <v>3</v>
      </c>
      <c r="E17" s="3">
        <v>51300</v>
      </c>
      <c r="F17" s="3">
        <v>15000</v>
      </c>
      <c r="G17" s="3" t="s">
        <v>45</v>
      </c>
      <c r="H17" s="3">
        <f>COUNTIF(Popu_data!C:C, C17)</f>
        <v>100</v>
      </c>
      <c r="I17" s="5">
        <f t="shared" si="0"/>
        <v>9.8814229249011856</v>
      </c>
      <c r="J17" s="3">
        <v>4.5448335556355079E-2</v>
      </c>
    </row>
    <row r="18" spans="1:10" x14ac:dyDescent="0.25">
      <c r="A18" s="3" t="s">
        <v>193</v>
      </c>
      <c r="B18" s="3">
        <v>179</v>
      </c>
      <c r="C18" s="3" t="s">
        <v>6</v>
      </c>
      <c r="D18" s="3">
        <v>1</v>
      </c>
      <c r="E18" s="3">
        <v>20467</v>
      </c>
      <c r="F18" s="3">
        <v>2000</v>
      </c>
      <c r="G18" s="3" t="s">
        <v>42</v>
      </c>
      <c r="H18" s="3">
        <f>COUNTIF(Popu_data!C:C, C18)</f>
        <v>100</v>
      </c>
      <c r="I18" s="5">
        <f t="shared" si="0"/>
        <v>9.8814229249011856</v>
      </c>
      <c r="J18" s="3">
        <v>4.9639454841541197E-2</v>
      </c>
    </row>
    <row r="19" spans="1:10" x14ac:dyDescent="0.25">
      <c r="A19" s="3" t="s">
        <v>25</v>
      </c>
      <c r="B19" s="3">
        <v>14</v>
      </c>
      <c r="C19" s="3" t="s">
        <v>6</v>
      </c>
      <c r="D19" s="3">
        <v>6</v>
      </c>
      <c r="E19" s="3">
        <v>15317</v>
      </c>
      <c r="F19" s="3">
        <v>10000</v>
      </c>
      <c r="G19" s="3" t="s">
        <v>7</v>
      </c>
      <c r="H19" s="3">
        <f>COUNTIF(Popu_data!C:C, C19)</f>
        <v>100</v>
      </c>
      <c r="I19" s="5">
        <f t="shared" si="0"/>
        <v>9.8814229249011856</v>
      </c>
      <c r="J19" s="3">
        <v>5.949970362307766E-2</v>
      </c>
    </row>
    <row r="20" spans="1:10" x14ac:dyDescent="0.25">
      <c r="A20" s="3" t="s">
        <v>146</v>
      </c>
      <c r="B20" s="3">
        <v>132</v>
      </c>
      <c r="C20" s="3" t="s">
        <v>6</v>
      </c>
      <c r="D20" s="3">
        <v>2</v>
      </c>
      <c r="E20" s="3">
        <v>8692</v>
      </c>
      <c r="F20" s="3">
        <v>5100</v>
      </c>
      <c r="G20" s="3" t="s">
        <v>4</v>
      </c>
      <c r="H20" s="3">
        <f>COUNTIF(Popu_data!C:C, C20)</f>
        <v>100</v>
      </c>
      <c r="I20" s="5">
        <f t="shared" si="0"/>
        <v>9.8814229249011856</v>
      </c>
      <c r="J20" s="3">
        <v>6.4419153126216155E-2</v>
      </c>
    </row>
    <row r="21" spans="1:10" x14ac:dyDescent="0.25">
      <c r="A21" s="3" t="s">
        <v>264</v>
      </c>
      <c r="B21" s="3">
        <v>250</v>
      </c>
      <c r="C21" s="3" t="s">
        <v>6</v>
      </c>
      <c r="D21" s="3">
        <v>2</v>
      </c>
      <c r="E21" s="3">
        <v>6317</v>
      </c>
      <c r="F21" s="3">
        <v>1800</v>
      </c>
      <c r="G21" s="3" t="s">
        <v>18</v>
      </c>
      <c r="H21" s="3">
        <f>COUNTIF(Popu_data!C:C, C21)</f>
        <v>100</v>
      </c>
      <c r="I21" s="5">
        <f t="shared" si="0"/>
        <v>9.8814229249011856</v>
      </c>
      <c r="J21" s="3">
        <v>6.4442020775566933E-2</v>
      </c>
    </row>
    <row r="22" spans="1:10" x14ac:dyDescent="0.25">
      <c r="A22" s="3" t="s">
        <v>249</v>
      </c>
      <c r="B22" s="3">
        <v>235</v>
      </c>
      <c r="C22" s="3" t="s">
        <v>6</v>
      </c>
      <c r="D22" s="3">
        <v>4</v>
      </c>
      <c r="E22" s="3">
        <v>10058</v>
      </c>
      <c r="F22" s="3">
        <v>7250</v>
      </c>
      <c r="G22" s="3" t="s">
        <v>10</v>
      </c>
      <c r="H22" s="3">
        <f>COUNTIF(Popu_data!C:C, C22)</f>
        <v>100</v>
      </c>
      <c r="I22" s="5">
        <f t="shared" si="0"/>
        <v>9.8814229249011856</v>
      </c>
      <c r="J22" s="3">
        <v>6.576160971275824E-2</v>
      </c>
    </row>
    <row r="23" spans="1:10" x14ac:dyDescent="0.25">
      <c r="A23" s="3" t="s">
        <v>39</v>
      </c>
      <c r="B23" s="3">
        <v>27</v>
      </c>
      <c r="C23" s="3" t="s">
        <v>3</v>
      </c>
      <c r="D23" s="3">
        <v>4</v>
      </c>
      <c r="E23" s="3">
        <v>7750</v>
      </c>
      <c r="F23" s="3">
        <v>15000</v>
      </c>
      <c r="G23" s="3" t="s">
        <v>7</v>
      </c>
      <c r="H23" s="3">
        <f>COUNTIF(Popu_data!C:C, C23)</f>
        <v>75</v>
      </c>
      <c r="I23" s="5">
        <f t="shared" si="0"/>
        <v>7.4110671936758896</v>
      </c>
      <c r="J23" s="3">
        <v>0.10396598297074278</v>
      </c>
    </row>
    <row r="24" spans="1:10" x14ac:dyDescent="0.25">
      <c r="A24" s="3" t="s">
        <v>246</v>
      </c>
      <c r="B24" s="3">
        <v>232</v>
      </c>
      <c r="C24" s="3" t="s">
        <v>6</v>
      </c>
      <c r="D24" s="3">
        <v>4</v>
      </c>
      <c r="E24" s="3">
        <v>11083</v>
      </c>
      <c r="F24" s="3">
        <v>7000</v>
      </c>
      <c r="G24" s="3">
        <v>11</v>
      </c>
      <c r="H24" s="3">
        <f>COUNTIF(Popu_data!C:C, C24)</f>
        <v>100</v>
      </c>
      <c r="I24" s="5">
        <f t="shared" si="0"/>
        <v>9.8814229249011856</v>
      </c>
      <c r="J24" s="3">
        <v>7.6091220064350318E-2</v>
      </c>
    </row>
    <row r="25" spans="1:10" x14ac:dyDescent="0.25">
      <c r="A25" s="3" t="s">
        <v>220</v>
      </c>
      <c r="B25" s="3">
        <v>206</v>
      </c>
      <c r="C25" s="3" t="s">
        <v>6</v>
      </c>
      <c r="D25" s="3">
        <v>1</v>
      </c>
      <c r="E25" s="3">
        <v>3625</v>
      </c>
      <c r="F25" s="3">
        <v>1500</v>
      </c>
      <c r="G25" s="3" t="s">
        <v>42</v>
      </c>
      <c r="H25" s="3">
        <f>COUNTIF(Popu_data!C:C, C25)</f>
        <v>100</v>
      </c>
      <c r="I25" s="5">
        <f t="shared" si="0"/>
        <v>9.8814229249011856</v>
      </c>
      <c r="J25" s="3">
        <v>8.8214423594623503E-2</v>
      </c>
    </row>
    <row r="26" spans="1:10" x14ac:dyDescent="0.25">
      <c r="A26" s="3" t="s">
        <v>172</v>
      </c>
      <c r="B26" s="3">
        <v>158</v>
      </c>
      <c r="C26" s="3" t="s">
        <v>6</v>
      </c>
      <c r="D26" s="3">
        <v>4</v>
      </c>
      <c r="E26" s="3">
        <v>8625</v>
      </c>
      <c r="F26" s="3">
        <v>7500</v>
      </c>
      <c r="G26" s="3" t="s">
        <v>14</v>
      </c>
      <c r="H26" s="3">
        <f>COUNTIF(Popu_data!C:C, C26)</f>
        <v>100</v>
      </c>
      <c r="I26" s="5">
        <f t="shared" si="0"/>
        <v>9.8814229249011856</v>
      </c>
      <c r="J26" s="3">
        <v>9.1240944655863632E-2</v>
      </c>
    </row>
    <row r="27" spans="1:10" x14ac:dyDescent="0.25">
      <c r="A27" s="3" t="s">
        <v>136</v>
      </c>
      <c r="B27" s="3">
        <v>122</v>
      </c>
      <c r="C27" s="3" t="s">
        <v>24</v>
      </c>
      <c r="D27" s="3">
        <v>4</v>
      </c>
      <c r="E27" s="3">
        <v>7491</v>
      </c>
      <c r="F27" s="3">
        <v>8500</v>
      </c>
      <c r="G27" s="3" t="s">
        <v>10</v>
      </c>
      <c r="H27" s="3">
        <f>COUNTIF(Popu_data!C:C, C27)</f>
        <v>43</v>
      </c>
      <c r="I27" s="5">
        <f t="shared" si="0"/>
        <v>4.2490118577075098</v>
      </c>
      <c r="J27" s="3">
        <v>2.6366152941215582E-2</v>
      </c>
    </row>
    <row r="28" spans="1:10" x14ac:dyDescent="0.25">
      <c r="A28" s="3" t="s">
        <v>81</v>
      </c>
      <c r="B28" s="3">
        <v>67</v>
      </c>
      <c r="C28" s="3" t="s">
        <v>3</v>
      </c>
      <c r="D28" s="3">
        <v>7</v>
      </c>
      <c r="E28" s="3">
        <v>8417</v>
      </c>
      <c r="F28" s="3">
        <v>12000</v>
      </c>
      <c r="G28" s="3" t="s">
        <v>14</v>
      </c>
      <c r="H28" s="3">
        <f>COUNTIF(Popu_data!C:C, C28)</f>
        <v>75</v>
      </c>
      <c r="I28" s="5">
        <f t="shared" si="0"/>
        <v>7.4110671936758896</v>
      </c>
      <c r="J28" s="3">
        <v>0.12310303683461565</v>
      </c>
    </row>
    <row r="29" spans="1:10" x14ac:dyDescent="0.25">
      <c r="A29" s="3" t="s">
        <v>69</v>
      </c>
      <c r="B29" s="3">
        <v>55</v>
      </c>
      <c r="C29" s="3" t="s">
        <v>24</v>
      </c>
      <c r="D29" s="3">
        <v>5</v>
      </c>
      <c r="E29" s="3">
        <v>12542</v>
      </c>
      <c r="F29" s="3">
        <v>11000</v>
      </c>
      <c r="G29" s="3" t="s">
        <v>14</v>
      </c>
      <c r="H29" s="3">
        <f>COUNTIF(Popu_data!C:C, C29)</f>
        <v>43</v>
      </c>
      <c r="I29" s="5">
        <f t="shared" si="0"/>
        <v>4.2490118577075098</v>
      </c>
      <c r="J29" s="3">
        <v>3.5672052948375832E-2</v>
      </c>
    </row>
    <row r="30" spans="1:10" x14ac:dyDescent="0.25">
      <c r="A30" s="3" t="s">
        <v>98</v>
      </c>
      <c r="B30" s="3">
        <v>84</v>
      </c>
      <c r="C30" s="3" t="s">
        <v>3</v>
      </c>
      <c r="D30" s="3">
        <v>7</v>
      </c>
      <c r="E30" s="3">
        <v>18500</v>
      </c>
      <c r="F30" s="3">
        <v>12000</v>
      </c>
      <c r="G30" s="3" t="s">
        <v>10</v>
      </c>
      <c r="H30" s="3">
        <f>COUNTIF(Popu_data!C:C, C30)</f>
        <v>75</v>
      </c>
      <c r="I30" s="5">
        <f t="shared" si="0"/>
        <v>7.4110671936758896</v>
      </c>
      <c r="J30" s="3">
        <v>0.12575303111087455</v>
      </c>
    </row>
    <row r="31" spans="1:10" x14ac:dyDescent="0.25">
      <c r="A31" s="3" t="s">
        <v>74</v>
      </c>
      <c r="B31" s="3">
        <v>60</v>
      </c>
      <c r="C31" s="3" t="s">
        <v>6</v>
      </c>
      <c r="D31" s="3">
        <v>3</v>
      </c>
      <c r="E31" s="3">
        <v>8025</v>
      </c>
      <c r="F31" s="3">
        <v>13500</v>
      </c>
      <c r="G31" s="3" t="s">
        <v>45</v>
      </c>
      <c r="H31" s="3">
        <f>COUNTIF(Popu_data!C:C, C31)</f>
        <v>100</v>
      </c>
      <c r="I31" s="5">
        <f t="shared" si="0"/>
        <v>9.8814229249011856</v>
      </c>
      <c r="J31" s="3">
        <v>9.566622908187683E-2</v>
      </c>
    </row>
    <row r="32" spans="1:10" x14ac:dyDescent="0.25">
      <c r="A32" s="3" t="s">
        <v>175</v>
      </c>
      <c r="B32" s="3">
        <v>161</v>
      </c>
      <c r="C32" s="3" t="s">
        <v>6</v>
      </c>
      <c r="D32" s="3">
        <v>7</v>
      </c>
      <c r="E32" s="3">
        <v>34840</v>
      </c>
      <c r="F32" s="3">
        <v>11230</v>
      </c>
      <c r="G32" s="3" t="s">
        <v>4</v>
      </c>
      <c r="H32" s="3">
        <f>COUNTIF(Popu_data!C:C, C32)</f>
        <v>100</v>
      </c>
      <c r="I32" s="5">
        <f t="shared" si="0"/>
        <v>9.8814229249011856</v>
      </c>
      <c r="J32" s="3">
        <v>0.1087625108023873</v>
      </c>
    </row>
    <row r="33" spans="1:10" x14ac:dyDescent="0.25">
      <c r="A33" s="3" t="s">
        <v>77</v>
      </c>
      <c r="B33" s="3">
        <v>63</v>
      </c>
      <c r="C33" s="3" t="s">
        <v>6</v>
      </c>
      <c r="D33" s="3">
        <v>2</v>
      </c>
      <c r="E33" s="3">
        <v>8360</v>
      </c>
      <c r="F33" s="3">
        <v>5500</v>
      </c>
      <c r="G33" s="3" t="s">
        <v>14</v>
      </c>
      <c r="H33" s="3">
        <f>COUNTIF(Popu_data!C:C, C33)</f>
        <v>100</v>
      </c>
      <c r="I33" s="5">
        <f t="shared" si="0"/>
        <v>9.8814229249011856</v>
      </c>
      <c r="J33" s="3">
        <v>0.11520249732447518</v>
      </c>
    </row>
    <row r="34" spans="1:10" x14ac:dyDescent="0.25">
      <c r="A34" s="3" t="s">
        <v>132</v>
      </c>
      <c r="B34" s="3">
        <v>118</v>
      </c>
      <c r="C34" s="3" t="s">
        <v>3</v>
      </c>
      <c r="D34" s="3">
        <v>5</v>
      </c>
      <c r="E34" s="3">
        <v>16667</v>
      </c>
      <c r="F34" s="3">
        <v>8500</v>
      </c>
      <c r="G34" s="3" t="s">
        <v>7</v>
      </c>
      <c r="H34" s="3">
        <f>COUNTIF(Popu_data!C:C, C34)</f>
        <v>75</v>
      </c>
      <c r="I34" s="5">
        <f t="shared" si="0"/>
        <v>7.4110671936758896</v>
      </c>
      <c r="J34" s="3">
        <v>0.13595850080129468</v>
      </c>
    </row>
    <row r="35" spans="1:10" x14ac:dyDescent="0.25">
      <c r="A35" s="3" t="s">
        <v>168</v>
      </c>
      <c r="B35" s="3">
        <v>154</v>
      </c>
      <c r="C35" s="3" t="s">
        <v>3</v>
      </c>
      <c r="D35" s="3">
        <v>3</v>
      </c>
      <c r="E35" s="3">
        <v>18383</v>
      </c>
      <c r="F35" s="3">
        <v>17000</v>
      </c>
      <c r="G35" s="3" t="s">
        <v>45</v>
      </c>
      <c r="H35" s="3">
        <f>COUNTIF(Popu_data!C:C, C35)</f>
        <v>75</v>
      </c>
      <c r="I35" s="5">
        <f t="shared" si="0"/>
        <v>7.4110671936758896</v>
      </c>
      <c r="J35" s="3">
        <v>0.15471305771869137</v>
      </c>
    </row>
    <row r="36" spans="1:10" x14ac:dyDescent="0.25">
      <c r="A36" s="3" t="s">
        <v>16</v>
      </c>
      <c r="B36" s="3">
        <v>8</v>
      </c>
      <c r="C36" s="3" t="s">
        <v>6</v>
      </c>
      <c r="D36" s="3">
        <v>4</v>
      </c>
      <c r="E36" s="3">
        <v>17933</v>
      </c>
      <c r="F36" s="3">
        <v>13600</v>
      </c>
      <c r="G36" s="3" t="s">
        <v>10</v>
      </c>
      <c r="H36" s="3">
        <f>COUNTIF(Popu_data!C:C, C36)</f>
        <v>100</v>
      </c>
      <c r="I36" s="5">
        <f t="shared" si="0"/>
        <v>9.8814229249011856</v>
      </c>
      <c r="J36" s="3">
        <v>0.12585124487546429</v>
      </c>
    </row>
    <row r="37" spans="1:10" x14ac:dyDescent="0.25">
      <c r="A37" s="3" t="s">
        <v>76</v>
      </c>
      <c r="B37" s="3">
        <v>62</v>
      </c>
      <c r="C37" s="3" t="s">
        <v>6</v>
      </c>
      <c r="D37" s="3">
        <v>5</v>
      </c>
      <c r="E37" s="3">
        <v>20792</v>
      </c>
      <c r="F37" s="3">
        <v>8000</v>
      </c>
      <c r="G37" s="3" t="s">
        <v>34</v>
      </c>
      <c r="H37" s="3">
        <f>COUNTIF(Popu_data!C:C, C37)</f>
        <v>100</v>
      </c>
      <c r="I37" s="5">
        <f t="shared" si="0"/>
        <v>9.8814229249011856</v>
      </c>
      <c r="J37" s="3">
        <v>0.12637683235679753</v>
      </c>
    </row>
    <row r="38" spans="1:10" x14ac:dyDescent="0.25">
      <c r="A38" s="3" t="s">
        <v>170</v>
      </c>
      <c r="B38" s="3">
        <v>156</v>
      </c>
      <c r="C38" s="3" t="s">
        <v>24</v>
      </c>
      <c r="D38" s="3">
        <v>2</v>
      </c>
      <c r="E38" s="3">
        <v>6583</v>
      </c>
      <c r="F38" s="3">
        <v>5000</v>
      </c>
      <c r="G38" s="3" t="s">
        <v>42</v>
      </c>
      <c r="H38" s="3">
        <f>COUNTIF(Popu_data!C:C, C38)</f>
        <v>43</v>
      </c>
      <c r="I38" s="5">
        <f t="shared" si="0"/>
        <v>4.2490118577075098</v>
      </c>
      <c r="J38" s="3">
        <v>0.10006866953152105</v>
      </c>
    </row>
    <row r="39" spans="1:10" x14ac:dyDescent="0.25">
      <c r="A39" s="3" t="s">
        <v>119</v>
      </c>
      <c r="B39" s="3">
        <v>105</v>
      </c>
      <c r="C39" s="3" t="s">
        <v>6</v>
      </c>
      <c r="D39" s="3">
        <v>8</v>
      </c>
      <c r="E39" s="3">
        <v>11969</v>
      </c>
      <c r="F39" s="3">
        <v>12650</v>
      </c>
      <c r="G39" s="3" t="s">
        <v>14</v>
      </c>
      <c r="H39" s="3">
        <f>COUNTIF(Popu_data!C:C, C39)</f>
        <v>100</v>
      </c>
      <c r="I39" s="5">
        <f t="shared" si="0"/>
        <v>9.8814229249011856</v>
      </c>
      <c r="J39" s="3">
        <v>0.14271974400988596</v>
      </c>
    </row>
    <row r="40" spans="1:10" x14ac:dyDescent="0.25">
      <c r="A40" s="3" t="s">
        <v>71</v>
      </c>
      <c r="B40" s="3">
        <v>57</v>
      </c>
      <c r="C40" s="3" t="s">
        <v>3</v>
      </c>
      <c r="D40" s="3">
        <v>4</v>
      </c>
      <c r="E40" s="3">
        <v>11653</v>
      </c>
      <c r="F40" s="3">
        <v>10000</v>
      </c>
      <c r="G40" s="3" t="s">
        <v>7</v>
      </c>
      <c r="H40" s="3">
        <f>COUNTIF(Popu_data!C:C, C40)</f>
        <v>75</v>
      </c>
      <c r="I40" s="5">
        <f t="shared" si="0"/>
        <v>7.4110671936758896</v>
      </c>
      <c r="J40" s="3">
        <v>0.17618989973151555</v>
      </c>
    </row>
    <row r="41" spans="1:10" x14ac:dyDescent="0.25">
      <c r="A41" s="3" t="s">
        <v>26</v>
      </c>
      <c r="B41" s="3">
        <v>15</v>
      </c>
      <c r="C41" s="3" t="s">
        <v>6</v>
      </c>
      <c r="D41" s="3">
        <v>6</v>
      </c>
      <c r="E41" s="3">
        <v>24667</v>
      </c>
      <c r="F41" s="3">
        <v>18500</v>
      </c>
      <c r="G41" s="3" t="s">
        <v>4</v>
      </c>
      <c r="H41" s="3">
        <f>COUNTIF(Popu_data!C:C, C41)</f>
        <v>100</v>
      </c>
      <c r="I41" s="5">
        <f t="shared" si="0"/>
        <v>9.8814229249011856</v>
      </c>
      <c r="J41" s="3">
        <v>0.15745850736295908</v>
      </c>
    </row>
    <row r="42" spans="1:10" x14ac:dyDescent="0.25">
      <c r="A42" s="3" t="s">
        <v>236</v>
      </c>
      <c r="B42" s="3">
        <v>222</v>
      </c>
      <c r="C42" s="3" t="s">
        <v>6</v>
      </c>
      <c r="D42" s="3">
        <v>10</v>
      </c>
      <c r="E42" s="3">
        <v>13038</v>
      </c>
      <c r="F42" s="3">
        <v>26500</v>
      </c>
      <c r="G42" s="3" t="s">
        <v>4</v>
      </c>
      <c r="H42" s="3">
        <f>COUNTIF(Popu_data!C:C, C42)</f>
        <v>100</v>
      </c>
      <c r="I42" s="5">
        <f t="shared" si="0"/>
        <v>9.8814229249011856</v>
      </c>
      <c r="J42" s="3">
        <v>0.15771641260595171</v>
      </c>
    </row>
    <row r="43" spans="1:10" x14ac:dyDescent="0.25">
      <c r="A43" s="3" t="s">
        <v>56</v>
      </c>
      <c r="B43" s="3">
        <v>42</v>
      </c>
      <c r="C43" s="3" t="s">
        <v>13</v>
      </c>
      <c r="D43" s="3">
        <v>5</v>
      </c>
      <c r="E43" s="3">
        <v>19917</v>
      </c>
      <c r="F43" s="3">
        <v>10000</v>
      </c>
      <c r="G43" s="3" t="s">
        <v>4</v>
      </c>
      <c r="H43" s="3">
        <f>COUNTIF(Popu_data!C:C, C43)</f>
        <v>35</v>
      </c>
      <c r="I43" s="5">
        <v>4</v>
      </c>
      <c r="J43" s="3">
        <v>0.1271510998117914</v>
      </c>
    </row>
    <row r="44" spans="1:10" x14ac:dyDescent="0.25">
      <c r="A44" s="3" t="s">
        <v>242</v>
      </c>
      <c r="B44" s="3">
        <v>228</v>
      </c>
      <c r="C44" s="3" t="s">
        <v>6</v>
      </c>
      <c r="D44" s="3">
        <v>5</v>
      </c>
      <c r="E44" s="3">
        <v>19558</v>
      </c>
      <c r="F44" s="3">
        <v>8500</v>
      </c>
      <c r="G44" s="3" t="s">
        <v>4</v>
      </c>
      <c r="H44" s="3">
        <f>COUNTIF(Popu_data!C:C, C44)</f>
        <v>100</v>
      </c>
      <c r="I44" s="5">
        <f t="shared" ref="I44:I53" si="1">H44/253*25</f>
        <v>9.8814229249011856</v>
      </c>
      <c r="J44" s="3">
        <v>0.16017453172435692</v>
      </c>
    </row>
    <row r="45" spans="1:10" x14ac:dyDescent="0.25">
      <c r="A45" s="3" t="s">
        <v>219</v>
      </c>
      <c r="B45" s="3">
        <v>205</v>
      </c>
      <c r="C45" s="3" t="s">
        <v>6</v>
      </c>
      <c r="D45" s="3">
        <v>4</v>
      </c>
      <c r="E45" s="3">
        <v>12158</v>
      </c>
      <c r="F45" s="3">
        <v>6600</v>
      </c>
      <c r="G45" s="3" t="s">
        <v>7</v>
      </c>
      <c r="H45" s="3">
        <f>COUNTIF(Popu_data!C:C, C45)</f>
        <v>100</v>
      </c>
      <c r="I45" s="5">
        <f t="shared" si="1"/>
        <v>9.8814229249011856</v>
      </c>
      <c r="J45" s="3">
        <v>0.17894474716006359</v>
      </c>
    </row>
    <row r="46" spans="1:10" x14ac:dyDescent="0.25">
      <c r="A46" s="3" t="s">
        <v>185</v>
      </c>
      <c r="B46" s="3">
        <v>171</v>
      </c>
      <c r="C46" s="3" t="s">
        <v>6</v>
      </c>
      <c r="D46" s="3">
        <v>4</v>
      </c>
      <c r="E46" s="3">
        <v>10267</v>
      </c>
      <c r="F46" s="3">
        <v>9000</v>
      </c>
      <c r="G46" s="3" t="s">
        <v>10</v>
      </c>
      <c r="H46" s="3">
        <f>COUNTIF(Popu_data!C:C, C46)</f>
        <v>100</v>
      </c>
      <c r="I46" s="5">
        <f t="shared" si="1"/>
        <v>9.8814229249011856</v>
      </c>
      <c r="J46" s="3">
        <v>0.18378330809461152</v>
      </c>
    </row>
    <row r="47" spans="1:10" x14ac:dyDescent="0.25">
      <c r="A47" s="3" t="s">
        <v>178</v>
      </c>
      <c r="B47" s="3">
        <v>164</v>
      </c>
      <c r="C47" s="3" t="s">
        <v>24</v>
      </c>
      <c r="D47" s="3">
        <v>5</v>
      </c>
      <c r="E47" s="3">
        <v>17352</v>
      </c>
      <c r="F47" s="3">
        <v>7500</v>
      </c>
      <c r="G47" s="3" t="s">
        <v>45</v>
      </c>
      <c r="H47" s="3">
        <f>COUNTIF(Popu_data!C:C, C47)</f>
        <v>43</v>
      </c>
      <c r="I47" s="5">
        <f t="shared" si="1"/>
        <v>4.2490118577075098</v>
      </c>
      <c r="J47" s="3">
        <v>0.1356456058946881</v>
      </c>
    </row>
    <row r="48" spans="1:10" x14ac:dyDescent="0.25">
      <c r="A48" s="3" t="s">
        <v>214</v>
      </c>
      <c r="B48" s="3">
        <v>200</v>
      </c>
      <c r="C48" s="3" t="s">
        <v>3</v>
      </c>
      <c r="D48" s="3">
        <v>3</v>
      </c>
      <c r="E48" s="3">
        <v>2992</v>
      </c>
      <c r="F48" s="3">
        <v>9500</v>
      </c>
      <c r="G48" s="3" t="s">
        <v>4</v>
      </c>
      <c r="H48" s="3">
        <f>COUNTIF(Popu_data!C:C, C48)</f>
        <v>75</v>
      </c>
      <c r="I48" s="5">
        <f t="shared" si="1"/>
        <v>7.4110671936758896</v>
      </c>
      <c r="J48" s="3">
        <v>0.21862387357651725</v>
      </c>
    </row>
    <row r="49" spans="1:10" x14ac:dyDescent="0.25">
      <c r="A49" s="3" t="s">
        <v>124</v>
      </c>
      <c r="B49" s="3">
        <v>110</v>
      </c>
      <c r="C49" s="3" t="s">
        <v>24</v>
      </c>
      <c r="D49" s="3">
        <v>8</v>
      </c>
      <c r="E49" s="3">
        <v>12767</v>
      </c>
      <c r="F49" s="3">
        <v>12000</v>
      </c>
      <c r="G49" s="3" t="s">
        <v>7</v>
      </c>
      <c r="H49" s="3">
        <f>COUNTIF(Popu_data!C:C, C49)</f>
        <v>43</v>
      </c>
      <c r="I49" s="5">
        <f t="shared" si="1"/>
        <v>4.2490118577075098</v>
      </c>
      <c r="J49" s="3">
        <v>0.14502848853908268</v>
      </c>
    </row>
    <row r="50" spans="1:10" x14ac:dyDescent="0.25">
      <c r="A50" s="3" t="s">
        <v>162</v>
      </c>
      <c r="B50" s="3">
        <v>148</v>
      </c>
      <c r="C50" s="3" t="s">
        <v>6</v>
      </c>
      <c r="D50" s="3">
        <v>4</v>
      </c>
      <c r="E50" s="3">
        <v>10600</v>
      </c>
      <c r="F50" s="3">
        <v>5000</v>
      </c>
      <c r="G50" s="3" t="s">
        <v>10</v>
      </c>
      <c r="H50" s="3">
        <f>COUNTIF(Popu_data!C:C, C50)</f>
        <v>100</v>
      </c>
      <c r="I50" s="5">
        <f t="shared" si="1"/>
        <v>9.8814229249011856</v>
      </c>
      <c r="J50" s="3">
        <v>0.18961596942470305</v>
      </c>
    </row>
    <row r="51" spans="1:10" x14ac:dyDescent="0.25">
      <c r="A51" s="3" t="s">
        <v>190</v>
      </c>
      <c r="B51" s="3">
        <v>176</v>
      </c>
      <c r="C51" s="3" t="s">
        <v>3</v>
      </c>
      <c r="D51" s="3">
        <v>4</v>
      </c>
      <c r="E51" s="3">
        <v>26000</v>
      </c>
      <c r="F51" s="3">
        <v>12000</v>
      </c>
      <c r="G51" s="3" t="s">
        <v>45</v>
      </c>
      <c r="H51" s="3">
        <f>COUNTIF(Popu_data!C:C, C51)</f>
        <v>75</v>
      </c>
      <c r="I51" s="5">
        <f t="shared" si="1"/>
        <v>7.4110671936758896</v>
      </c>
      <c r="J51" s="3">
        <v>0.21995296251006546</v>
      </c>
    </row>
    <row r="52" spans="1:10" x14ac:dyDescent="0.25">
      <c r="A52" s="3" t="s">
        <v>144</v>
      </c>
      <c r="B52" s="3">
        <v>130</v>
      </c>
      <c r="C52" s="3" t="s">
        <v>3</v>
      </c>
      <c r="D52" s="3">
        <v>3</v>
      </c>
      <c r="E52" s="3">
        <v>9758</v>
      </c>
      <c r="F52" s="3">
        <v>4000</v>
      </c>
      <c r="G52" s="3" t="s">
        <v>7</v>
      </c>
      <c r="H52" s="3">
        <f>COUNTIF(Popu_data!C:C, C52)</f>
        <v>75</v>
      </c>
      <c r="I52" s="5">
        <f t="shared" si="1"/>
        <v>7.4110671936758896</v>
      </c>
      <c r="J52" s="3">
        <v>0.22223601296338436</v>
      </c>
    </row>
    <row r="53" spans="1:10" x14ac:dyDescent="0.25">
      <c r="A53" s="3" t="s">
        <v>125</v>
      </c>
      <c r="B53" s="3">
        <v>111</v>
      </c>
      <c r="C53" s="3" t="s">
        <v>24</v>
      </c>
      <c r="D53" s="3">
        <v>3</v>
      </c>
      <c r="E53" s="3">
        <v>5029</v>
      </c>
      <c r="F53" s="3">
        <v>4500</v>
      </c>
      <c r="G53" s="3" t="s">
        <v>42</v>
      </c>
      <c r="H53" s="3">
        <f>COUNTIF(Popu_data!C:C, C53)</f>
        <v>43</v>
      </c>
      <c r="I53" s="5">
        <f t="shared" si="1"/>
        <v>4.2490118577075098</v>
      </c>
      <c r="J53" s="3">
        <v>0.15171819907245487</v>
      </c>
    </row>
    <row r="54" spans="1:10" x14ac:dyDescent="0.25">
      <c r="A54" s="3" t="s">
        <v>115</v>
      </c>
      <c r="B54" s="3">
        <v>101</v>
      </c>
      <c r="C54" s="3" t="s">
        <v>13</v>
      </c>
      <c r="D54" s="3">
        <v>6</v>
      </c>
      <c r="E54" s="3">
        <v>31223</v>
      </c>
      <c r="F54" s="3">
        <v>27000</v>
      </c>
      <c r="G54" s="3" t="s">
        <v>14</v>
      </c>
      <c r="H54" s="3">
        <f>COUNTIF(Popu_data!C:C, C54)</f>
        <v>35</v>
      </c>
      <c r="I54" s="5">
        <v>4</v>
      </c>
      <c r="J54" s="3">
        <v>0.14162988901787565</v>
      </c>
    </row>
    <row r="55" spans="1:10" x14ac:dyDescent="0.25">
      <c r="A55" s="3" t="s">
        <v>245</v>
      </c>
      <c r="B55" s="3">
        <v>231</v>
      </c>
      <c r="C55" s="3" t="s">
        <v>6</v>
      </c>
      <c r="D55" s="3">
        <v>2</v>
      </c>
      <c r="E55" s="3">
        <v>10492</v>
      </c>
      <c r="F55" s="3">
        <v>6500</v>
      </c>
      <c r="G55" s="3" t="s">
        <v>4</v>
      </c>
      <c r="H55" s="3">
        <f>COUNTIF(Popu_data!C:C, C55)</f>
        <v>100</v>
      </c>
      <c r="I55" s="5">
        <f t="shared" ref="I55:I69" si="2">H55/253*25</f>
        <v>9.8814229249011856</v>
      </c>
      <c r="J55" s="3">
        <v>0.19661078291809531</v>
      </c>
    </row>
    <row r="56" spans="1:10" x14ac:dyDescent="0.25">
      <c r="A56" s="3" t="s">
        <v>263</v>
      </c>
      <c r="B56" s="3">
        <v>249</v>
      </c>
      <c r="C56" s="3" t="s">
        <v>24</v>
      </c>
      <c r="D56" s="3">
        <v>6</v>
      </c>
      <c r="E56" s="3">
        <v>14175</v>
      </c>
      <c r="F56" s="3">
        <v>10000</v>
      </c>
      <c r="G56" s="3" t="s">
        <v>7</v>
      </c>
      <c r="H56" s="3">
        <f>COUNTIF(Popu_data!C:C, C56)</f>
        <v>43</v>
      </c>
      <c r="I56" s="5">
        <f t="shared" si="2"/>
        <v>4.2490118577075098</v>
      </c>
      <c r="J56" s="3">
        <v>0.16347676219857288</v>
      </c>
    </row>
    <row r="57" spans="1:10" x14ac:dyDescent="0.25">
      <c r="A57" s="3" t="s">
        <v>155</v>
      </c>
      <c r="B57" s="3">
        <v>141</v>
      </c>
      <c r="C57" s="3" t="s">
        <v>24</v>
      </c>
      <c r="D57" s="3">
        <v>3</v>
      </c>
      <c r="E57" s="3">
        <v>10323</v>
      </c>
      <c r="F57" s="3">
        <v>6450</v>
      </c>
      <c r="G57" s="3" t="s">
        <v>10</v>
      </c>
      <c r="H57" s="3">
        <f>COUNTIF(Popu_data!C:C, C57)</f>
        <v>43</v>
      </c>
      <c r="I57" s="5">
        <f t="shared" si="2"/>
        <v>4.2490118577075098</v>
      </c>
      <c r="J57" s="3">
        <v>0.16468187004011303</v>
      </c>
    </row>
    <row r="58" spans="1:10" x14ac:dyDescent="0.25">
      <c r="A58" s="3" t="s">
        <v>48</v>
      </c>
      <c r="B58" s="3">
        <v>34</v>
      </c>
      <c r="C58" s="3" t="s">
        <v>3</v>
      </c>
      <c r="D58" s="3">
        <v>2</v>
      </c>
      <c r="E58" s="3">
        <v>28303</v>
      </c>
      <c r="F58" s="3">
        <v>45000</v>
      </c>
      <c r="G58" s="3" t="s">
        <v>45</v>
      </c>
      <c r="H58" s="3">
        <f>COUNTIF(Popu_data!C:C, C58)</f>
        <v>75</v>
      </c>
      <c r="I58" s="5">
        <f t="shared" si="2"/>
        <v>7.4110671936758896</v>
      </c>
      <c r="J58" s="3">
        <v>0.22274205346399567</v>
      </c>
    </row>
    <row r="59" spans="1:10" x14ac:dyDescent="0.25">
      <c r="A59" s="3" t="s">
        <v>85</v>
      </c>
      <c r="B59" s="3">
        <v>71</v>
      </c>
      <c r="C59" s="3" t="s">
        <v>3</v>
      </c>
      <c r="D59" s="3">
        <v>5</v>
      </c>
      <c r="E59" s="3">
        <v>9250</v>
      </c>
      <c r="F59" s="3">
        <v>16000</v>
      </c>
      <c r="G59" s="3" t="s">
        <v>7</v>
      </c>
      <c r="H59" s="3">
        <f>COUNTIF(Popu_data!C:C, C59)</f>
        <v>75</v>
      </c>
      <c r="I59" s="5">
        <f t="shared" si="2"/>
        <v>7.4110671936758896</v>
      </c>
      <c r="J59" s="3">
        <v>0.23086263975409649</v>
      </c>
    </row>
    <row r="60" spans="1:10" x14ac:dyDescent="0.25">
      <c r="A60" s="3" t="s">
        <v>159</v>
      </c>
      <c r="B60" s="3">
        <v>145</v>
      </c>
      <c r="C60" s="3" t="s">
        <v>6</v>
      </c>
      <c r="D60" s="3">
        <v>3</v>
      </c>
      <c r="E60" s="3">
        <v>19725</v>
      </c>
      <c r="F60" s="3">
        <v>6840</v>
      </c>
      <c r="G60" s="3" t="s">
        <v>34</v>
      </c>
      <c r="H60" s="3">
        <f>COUNTIF(Popu_data!C:C, C60)</f>
        <v>100</v>
      </c>
      <c r="I60" s="5">
        <f t="shared" si="2"/>
        <v>9.8814229249011856</v>
      </c>
      <c r="J60" s="3">
        <v>0.19945795549746825</v>
      </c>
    </row>
    <row r="61" spans="1:10" x14ac:dyDescent="0.25">
      <c r="A61" s="3" t="s">
        <v>43</v>
      </c>
      <c r="B61" s="3">
        <v>30</v>
      </c>
      <c r="C61" s="3" t="s">
        <v>6</v>
      </c>
      <c r="D61" s="3">
        <v>5</v>
      </c>
      <c r="E61" s="3">
        <v>33967</v>
      </c>
      <c r="F61" s="3">
        <v>25000</v>
      </c>
      <c r="G61" s="3" t="s">
        <v>14</v>
      </c>
      <c r="H61" s="3">
        <f>COUNTIF(Popu_data!C:C, C61)</f>
        <v>100</v>
      </c>
      <c r="I61" s="5">
        <f t="shared" si="2"/>
        <v>9.8814229249011856</v>
      </c>
      <c r="J61" s="3">
        <v>0.22307787143967317</v>
      </c>
    </row>
    <row r="62" spans="1:10" x14ac:dyDescent="0.25">
      <c r="A62" s="3" t="s">
        <v>167</v>
      </c>
      <c r="B62" s="3">
        <v>153</v>
      </c>
      <c r="C62" s="3" t="s">
        <v>3</v>
      </c>
      <c r="D62" s="3">
        <v>4</v>
      </c>
      <c r="E62" s="3">
        <v>8833</v>
      </c>
      <c r="F62" s="3">
        <v>10000</v>
      </c>
      <c r="G62" s="3" t="s">
        <v>14</v>
      </c>
      <c r="H62" s="3">
        <f>COUNTIF(Popu_data!C:C, C62)</f>
        <v>75</v>
      </c>
      <c r="I62" s="5">
        <f t="shared" si="2"/>
        <v>7.4110671936758896</v>
      </c>
      <c r="J62" s="3">
        <v>0.24446333462771985</v>
      </c>
    </row>
    <row r="63" spans="1:10" x14ac:dyDescent="0.25">
      <c r="A63" s="3" t="s">
        <v>104</v>
      </c>
      <c r="B63" s="3">
        <v>90</v>
      </c>
      <c r="C63" s="3" t="s">
        <v>6</v>
      </c>
      <c r="D63" s="3">
        <v>4</v>
      </c>
      <c r="E63" s="3">
        <v>7613</v>
      </c>
      <c r="F63" s="3">
        <v>3750</v>
      </c>
      <c r="G63" s="3" t="s">
        <v>10</v>
      </c>
      <c r="H63" s="3">
        <f>COUNTIF(Popu_data!C:C, C63)</f>
        <v>100</v>
      </c>
      <c r="I63" s="5">
        <f t="shared" si="2"/>
        <v>9.8814229249011856</v>
      </c>
      <c r="J63" s="3">
        <v>0.22606218430713065</v>
      </c>
    </row>
    <row r="64" spans="1:10" x14ac:dyDescent="0.25">
      <c r="A64" s="3" t="s">
        <v>31</v>
      </c>
      <c r="B64" s="3">
        <v>20</v>
      </c>
      <c r="C64" s="3" t="s">
        <v>6</v>
      </c>
      <c r="D64" s="3">
        <v>2</v>
      </c>
      <c r="E64" s="3">
        <v>4992</v>
      </c>
      <c r="F64" s="3">
        <v>3500</v>
      </c>
      <c r="G64" s="3" t="s">
        <v>10</v>
      </c>
      <c r="H64" s="3">
        <f>COUNTIF(Popu_data!C:C, C64)</f>
        <v>100</v>
      </c>
      <c r="I64" s="5">
        <f t="shared" si="2"/>
        <v>9.8814229249011856</v>
      </c>
      <c r="J64" s="3">
        <v>0.23104705723122543</v>
      </c>
    </row>
    <row r="65" spans="1:10" x14ac:dyDescent="0.25">
      <c r="A65" s="3" t="s">
        <v>237</v>
      </c>
      <c r="B65" s="3">
        <v>223</v>
      </c>
      <c r="C65" s="3" t="s">
        <v>24</v>
      </c>
      <c r="D65" s="3">
        <v>2</v>
      </c>
      <c r="E65" s="3">
        <v>4175</v>
      </c>
      <c r="F65" s="3">
        <v>4500</v>
      </c>
      <c r="G65" s="3" t="s">
        <v>7</v>
      </c>
      <c r="H65" s="3">
        <f>COUNTIF(Popu_data!C:C, C65)</f>
        <v>43</v>
      </c>
      <c r="I65" s="5">
        <f t="shared" si="2"/>
        <v>4.2490118577075098</v>
      </c>
      <c r="J65" s="3">
        <v>0.16521106801550389</v>
      </c>
    </row>
    <row r="66" spans="1:10" x14ac:dyDescent="0.25">
      <c r="A66" s="3" t="s">
        <v>97</v>
      </c>
      <c r="B66" s="3">
        <v>83</v>
      </c>
      <c r="C66" s="3" t="s">
        <v>24</v>
      </c>
      <c r="D66" s="3">
        <v>2</v>
      </c>
      <c r="E66" s="3">
        <v>6250</v>
      </c>
      <c r="F66" s="3">
        <v>7000</v>
      </c>
      <c r="G66" s="3" t="s">
        <v>7</v>
      </c>
      <c r="H66" s="3">
        <f>COUNTIF(Popu_data!C:C, C66)</f>
        <v>43</v>
      </c>
      <c r="I66" s="5">
        <f t="shared" si="2"/>
        <v>4.2490118577075098</v>
      </c>
      <c r="J66" s="3">
        <v>0.16713669565691991</v>
      </c>
    </row>
    <row r="67" spans="1:10" x14ac:dyDescent="0.25">
      <c r="A67" s="3" t="s">
        <v>229</v>
      </c>
      <c r="B67" s="3">
        <v>215</v>
      </c>
      <c r="C67" s="3" t="s">
        <v>3</v>
      </c>
      <c r="D67" s="3">
        <v>3</v>
      </c>
      <c r="E67" s="3">
        <v>9050</v>
      </c>
      <c r="F67" s="3">
        <v>7000</v>
      </c>
      <c r="G67" s="3" t="s">
        <v>10</v>
      </c>
      <c r="H67" s="3">
        <f>COUNTIF(Popu_data!C:C, C67)</f>
        <v>75</v>
      </c>
      <c r="I67" s="5">
        <f t="shared" si="2"/>
        <v>7.4110671936758896</v>
      </c>
      <c r="J67" s="3">
        <v>0.24585812440642285</v>
      </c>
    </row>
    <row r="68" spans="1:10" x14ac:dyDescent="0.25">
      <c r="A68" s="3" t="s">
        <v>11</v>
      </c>
      <c r="B68" s="3">
        <v>5</v>
      </c>
      <c r="C68" s="3" t="s">
        <v>3</v>
      </c>
      <c r="D68" s="3">
        <v>2</v>
      </c>
      <c r="E68" s="3">
        <v>38792</v>
      </c>
      <c r="F68" s="3">
        <v>15000</v>
      </c>
      <c r="G68" s="3" t="s">
        <v>4</v>
      </c>
      <c r="H68" s="3">
        <f>COUNTIF(Popu_data!C:C, C68)</f>
        <v>75</v>
      </c>
      <c r="I68" s="5">
        <f t="shared" si="2"/>
        <v>7.4110671936758896</v>
      </c>
      <c r="J68" s="3">
        <v>0.27219097451640084</v>
      </c>
    </row>
    <row r="69" spans="1:10" x14ac:dyDescent="0.25">
      <c r="A69" s="3" t="s">
        <v>250</v>
      </c>
      <c r="B69" s="3">
        <v>236</v>
      </c>
      <c r="C69" s="3" t="s">
        <v>24</v>
      </c>
      <c r="D69" s="3">
        <v>4</v>
      </c>
      <c r="E69" s="3">
        <v>18242</v>
      </c>
      <c r="F69" s="3">
        <v>7500</v>
      </c>
      <c r="G69" s="3" t="s">
        <v>14</v>
      </c>
      <c r="H69" s="3">
        <f>COUNTIF(Popu_data!C:C, C69)</f>
        <v>43</v>
      </c>
      <c r="I69" s="5">
        <f t="shared" si="2"/>
        <v>4.2490118577075098</v>
      </c>
      <c r="J69" s="3">
        <v>0.16854468568676706</v>
      </c>
    </row>
    <row r="70" spans="1:10" x14ac:dyDescent="0.25">
      <c r="A70" s="3" t="s">
        <v>234</v>
      </c>
      <c r="B70" s="3">
        <v>220</v>
      </c>
      <c r="C70" s="3" t="s">
        <v>13</v>
      </c>
      <c r="D70" s="3">
        <v>3</v>
      </c>
      <c r="E70" s="3">
        <v>11183</v>
      </c>
      <c r="F70" s="3">
        <v>4500</v>
      </c>
      <c r="G70" s="3" t="s">
        <v>7</v>
      </c>
      <c r="H70" s="3">
        <f>COUNTIF(Popu_data!C:C, C70)</f>
        <v>35</v>
      </c>
      <c r="I70" s="5">
        <v>4</v>
      </c>
      <c r="J70" s="3">
        <v>0.19930863848478808</v>
      </c>
    </row>
    <row r="71" spans="1:10" x14ac:dyDescent="0.25">
      <c r="A71" s="3" t="s">
        <v>123</v>
      </c>
      <c r="B71" s="3">
        <v>109</v>
      </c>
      <c r="C71" s="3" t="s">
        <v>6</v>
      </c>
      <c r="D71" s="3">
        <v>2</v>
      </c>
      <c r="E71" s="3">
        <v>6450</v>
      </c>
      <c r="F71" s="3">
        <v>4000</v>
      </c>
      <c r="G71" s="3" t="s">
        <v>10</v>
      </c>
      <c r="H71" s="3">
        <f>COUNTIF(Popu_data!C:C, C71)</f>
        <v>100</v>
      </c>
      <c r="I71" s="5">
        <f>H71/253*25</f>
        <v>9.8814229249011856</v>
      </c>
      <c r="J71" s="3">
        <v>0.24161691613292358</v>
      </c>
    </row>
    <row r="72" spans="1:10" x14ac:dyDescent="0.25">
      <c r="A72" s="3" t="s">
        <v>194</v>
      </c>
      <c r="B72" s="3">
        <v>180</v>
      </c>
      <c r="C72" s="3" t="s">
        <v>3</v>
      </c>
      <c r="D72" s="3">
        <v>1</v>
      </c>
      <c r="E72" s="3">
        <v>3193</v>
      </c>
      <c r="F72" s="3">
        <v>2320</v>
      </c>
      <c r="G72" s="3" t="s">
        <v>42</v>
      </c>
      <c r="H72" s="3">
        <f>COUNTIF(Popu_data!C:C, C72)</f>
        <v>75</v>
      </c>
      <c r="I72" s="5">
        <f>H72/253*25</f>
        <v>7.4110671936758896</v>
      </c>
      <c r="J72" s="3">
        <v>0.27569236129854191</v>
      </c>
    </row>
    <row r="73" spans="1:10" x14ac:dyDescent="0.25">
      <c r="A73" s="3" t="s">
        <v>191</v>
      </c>
      <c r="B73" s="3">
        <v>177</v>
      </c>
      <c r="C73" s="3" t="s">
        <v>3</v>
      </c>
      <c r="D73" s="3">
        <v>7</v>
      </c>
      <c r="E73" s="3">
        <v>17033</v>
      </c>
      <c r="F73" s="3">
        <v>45000</v>
      </c>
      <c r="G73" s="3" t="s">
        <v>45</v>
      </c>
      <c r="H73" s="3">
        <f>COUNTIF(Popu_data!C:C, C73)</f>
        <v>75</v>
      </c>
      <c r="I73" s="5">
        <f>H73/253*25</f>
        <v>7.4110671936758896</v>
      </c>
      <c r="J73" s="3">
        <v>0.28107833560006457</v>
      </c>
    </row>
    <row r="74" spans="1:10" x14ac:dyDescent="0.25">
      <c r="A74" s="3" t="s">
        <v>211</v>
      </c>
      <c r="B74" s="3">
        <v>197</v>
      </c>
      <c r="C74" s="3" t="s">
        <v>13</v>
      </c>
      <c r="D74" s="3">
        <v>1</v>
      </c>
      <c r="E74" s="3">
        <v>5450</v>
      </c>
      <c r="F74" s="3">
        <v>0</v>
      </c>
      <c r="G74" s="3" t="s">
        <v>42</v>
      </c>
      <c r="H74" s="3">
        <f>COUNTIF(Popu_data!C:C, C74)</f>
        <v>35</v>
      </c>
      <c r="I74" s="5">
        <v>4</v>
      </c>
      <c r="J74" s="3">
        <v>0.22056397181672038</v>
      </c>
    </row>
    <row r="75" spans="1:10" x14ac:dyDescent="0.25">
      <c r="A75" s="3" t="s">
        <v>57</v>
      </c>
      <c r="B75" s="3">
        <v>43</v>
      </c>
      <c r="C75" s="3" t="s">
        <v>6</v>
      </c>
      <c r="D75" s="3">
        <v>3</v>
      </c>
      <c r="E75" s="3">
        <v>18167</v>
      </c>
      <c r="F75" s="3">
        <v>8000</v>
      </c>
      <c r="G75" s="3" t="s">
        <v>14</v>
      </c>
      <c r="H75" s="3">
        <f>COUNTIF(Popu_data!C:C, C75)</f>
        <v>100</v>
      </c>
      <c r="I75" s="5">
        <f>H75/253*25</f>
        <v>9.8814229249011856</v>
      </c>
      <c r="J75" s="3">
        <v>0.25657337751475884</v>
      </c>
    </row>
    <row r="76" spans="1:10" x14ac:dyDescent="0.25">
      <c r="A76" s="3" t="s">
        <v>147</v>
      </c>
      <c r="B76" s="3">
        <v>133</v>
      </c>
      <c r="C76" s="3" t="s">
        <v>13</v>
      </c>
      <c r="D76" s="3">
        <v>5</v>
      </c>
      <c r="E76" s="3">
        <v>19583</v>
      </c>
      <c r="F76" s="3">
        <v>23000</v>
      </c>
      <c r="G76" s="3" t="s">
        <v>4</v>
      </c>
      <c r="H76" s="3">
        <f>COUNTIF(Popu_data!C:C, C76)</f>
        <v>35</v>
      </c>
      <c r="I76" s="5">
        <v>4</v>
      </c>
      <c r="J76" s="3">
        <v>0.23164356915188267</v>
      </c>
    </row>
    <row r="77" spans="1:10" x14ac:dyDescent="0.25">
      <c r="A77" s="3" t="s">
        <v>118</v>
      </c>
      <c r="B77" s="3">
        <v>104</v>
      </c>
      <c r="C77" s="3" t="s">
        <v>13</v>
      </c>
      <c r="D77" s="3">
        <v>5</v>
      </c>
      <c r="E77" s="3">
        <v>12062</v>
      </c>
      <c r="F77" s="3">
        <v>6700</v>
      </c>
      <c r="G77" s="3" t="s">
        <v>4</v>
      </c>
      <c r="H77" s="3">
        <f>COUNTIF(Popu_data!C:C, C77)</f>
        <v>35</v>
      </c>
      <c r="I77" s="5">
        <v>4</v>
      </c>
      <c r="J77" s="3">
        <v>0.23615228995252824</v>
      </c>
    </row>
    <row r="78" spans="1:10" x14ac:dyDescent="0.25">
      <c r="A78" s="3" t="s">
        <v>106</v>
      </c>
      <c r="B78" s="3">
        <v>92</v>
      </c>
      <c r="C78" s="3" t="s">
        <v>6</v>
      </c>
      <c r="D78" s="3">
        <v>8</v>
      </c>
      <c r="E78" s="3">
        <v>13317</v>
      </c>
      <c r="F78" s="3">
        <v>14000</v>
      </c>
      <c r="G78" s="3" t="s">
        <v>4</v>
      </c>
      <c r="H78" s="3">
        <f>COUNTIF(Popu_data!C:C, C78)</f>
        <v>100</v>
      </c>
      <c r="I78" s="5">
        <f>H78/253*25</f>
        <v>9.8814229249011856</v>
      </c>
      <c r="J78" s="3">
        <v>0.27358215526724361</v>
      </c>
    </row>
    <row r="79" spans="1:10" x14ac:dyDescent="0.25">
      <c r="A79" s="3" t="s">
        <v>158</v>
      </c>
      <c r="B79" s="3">
        <v>144</v>
      </c>
      <c r="C79" s="3" t="s">
        <v>13</v>
      </c>
      <c r="D79" s="3">
        <v>5</v>
      </c>
      <c r="E79" s="3">
        <v>7744</v>
      </c>
      <c r="F79" s="3">
        <v>4250</v>
      </c>
      <c r="G79" s="3" t="s">
        <v>42</v>
      </c>
      <c r="H79" s="3">
        <f>COUNTIF(Popu_data!C:C, C79)</f>
        <v>35</v>
      </c>
      <c r="I79" s="5">
        <v>4</v>
      </c>
      <c r="J79" s="3">
        <v>0.26170580574282987</v>
      </c>
    </row>
    <row r="80" spans="1:10" x14ac:dyDescent="0.25">
      <c r="A80" s="3" t="s">
        <v>150</v>
      </c>
      <c r="B80" s="3">
        <v>136</v>
      </c>
      <c r="C80" s="3" t="s">
        <v>13</v>
      </c>
      <c r="D80" s="3">
        <v>3</v>
      </c>
      <c r="E80" s="3">
        <v>12967</v>
      </c>
      <c r="F80" s="3">
        <v>35000</v>
      </c>
      <c r="G80" s="3" t="s">
        <v>7</v>
      </c>
      <c r="H80" s="3">
        <f>COUNTIF(Popu_data!C:C, C80)</f>
        <v>35</v>
      </c>
      <c r="I80" s="5">
        <v>4</v>
      </c>
      <c r="J80" s="3">
        <v>0.27922767415939909</v>
      </c>
    </row>
    <row r="81" spans="1:10" x14ac:dyDescent="0.25">
      <c r="A81" s="3" t="s">
        <v>151</v>
      </c>
      <c r="B81" s="3">
        <v>137</v>
      </c>
      <c r="C81" s="3" t="s">
        <v>13</v>
      </c>
      <c r="D81" s="3">
        <v>3</v>
      </c>
      <c r="E81" s="3">
        <v>9217</v>
      </c>
      <c r="F81" s="3">
        <v>5000</v>
      </c>
      <c r="G81" s="3" t="s">
        <v>14</v>
      </c>
      <c r="H81" s="3">
        <f>COUNTIF(Popu_data!C:C, C81)</f>
        <v>35</v>
      </c>
      <c r="I81" s="5">
        <v>4</v>
      </c>
      <c r="J81" s="3">
        <v>0.2840653211787022</v>
      </c>
    </row>
    <row r="82" spans="1:10" x14ac:dyDescent="0.25">
      <c r="A82" s="3" t="s">
        <v>22</v>
      </c>
      <c r="B82" s="3">
        <v>12</v>
      </c>
      <c r="C82" s="3" t="s">
        <v>6</v>
      </c>
      <c r="D82" s="3">
        <v>4</v>
      </c>
      <c r="E82" s="3">
        <v>11225</v>
      </c>
      <c r="F82" s="3">
        <v>6500</v>
      </c>
      <c r="G82" s="3" t="s">
        <v>10</v>
      </c>
      <c r="H82" s="3">
        <f>COUNTIF(Popu_data!C:C, C82)</f>
        <v>100</v>
      </c>
      <c r="I82" s="5">
        <f t="shared" ref="I82:I87" si="3">H82/253*25</f>
        <v>9.8814229249011856</v>
      </c>
      <c r="J82" s="3">
        <v>0.2736002936691061</v>
      </c>
    </row>
    <row r="83" spans="1:10" x14ac:dyDescent="0.25">
      <c r="A83" s="3" t="s">
        <v>84</v>
      </c>
      <c r="B83" s="3">
        <v>70</v>
      </c>
      <c r="C83" s="3" t="s">
        <v>6</v>
      </c>
      <c r="D83" s="3">
        <v>6</v>
      </c>
      <c r="E83" s="3">
        <v>10345</v>
      </c>
      <c r="F83" s="3">
        <v>12500</v>
      </c>
      <c r="G83" s="3" t="s">
        <v>4</v>
      </c>
      <c r="H83" s="3">
        <f>COUNTIF(Popu_data!C:C, C83)</f>
        <v>100</v>
      </c>
      <c r="I83" s="5">
        <f t="shared" si="3"/>
        <v>9.8814229249011856</v>
      </c>
      <c r="J83" s="3">
        <v>0.28082817450330055</v>
      </c>
    </row>
    <row r="84" spans="1:10" x14ac:dyDescent="0.25">
      <c r="A84" s="3" t="s">
        <v>212</v>
      </c>
      <c r="B84" s="3">
        <v>198</v>
      </c>
      <c r="C84" s="3" t="s">
        <v>24</v>
      </c>
      <c r="D84" s="3">
        <v>2</v>
      </c>
      <c r="E84" s="3">
        <v>6681</v>
      </c>
      <c r="F84" s="3">
        <v>10350</v>
      </c>
      <c r="G84" s="3" t="s">
        <v>4</v>
      </c>
      <c r="H84" s="3">
        <f>COUNTIF(Popu_data!C:C, C84)</f>
        <v>43</v>
      </c>
      <c r="I84" s="5">
        <f t="shared" si="3"/>
        <v>4.2490118577075098</v>
      </c>
      <c r="J84" s="3">
        <v>0.20205247112180202</v>
      </c>
    </row>
    <row r="85" spans="1:10" x14ac:dyDescent="0.25">
      <c r="A85" s="3" t="s">
        <v>225</v>
      </c>
      <c r="B85" s="3">
        <v>211</v>
      </c>
      <c r="C85" s="3" t="s">
        <v>3</v>
      </c>
      <c r="D85" s="3">
        <v>4</v>
      </c>
      <c r="E85" s="3">
        <v>13533</v>
      </c>
      <c r="F85" s="3">
        <v>7000</v>
      </c>
      <c r="G85" s="3" t="s">
        <v>14</v>
      </c>
      <c r="H85" s="3">
        <f>COUNTIF(Popu_data!C:C, C85)</f>
        <v>75</v>
      </c>
      <c r="I85" s="5">
        <f t="shared" si="3"/>
        <v>7.4110671936758896</v>
      </c>
      <c r="J85" s="3">
        <v>0.28484056080431153</v>
      </c>
    </row>
    <row r="86" spans="1:10" x14ac:dyDescent="0.25">
      <c r="A86" s="3" t="s">
        <v>111</v>
      </c>
      <c r="B86" s="3">
        <v>97</v>
      </c>
      <c r="C86" s="3" t="s">
        <v>6</v>
      </c>
      <c r="D86" s="3">
        <v>1</v>
      </c>
      <c r="E86" s="3">
        <v>33750</v>
      </c>
      <c r="F86" s="3">
        <v>19800</v>
      </c>
      <c r="G86" s="3" t="s">
        <v>4</v>
      </c>
      <c r="H86" s="3">
        <f>COUNTIF(Popu_data!C:C, C86)</f>
        <v>100</v>
      </c>
      <c r="I86" s="5">
        <f t="shared" si="3"/>
        <v>9.8814229249011856</v>
      </c>
      <c r="J86" s="3">
        <v>0.29935117256199195</v>
      </c>
    </row>
    <row r="87" spans="1:10" x14ac:dyDescent="0.25">
      <c r="A87" s="3" t="s">
        <v>50</v>
      </c>
      <c r="B87" s="3">
        <v>36</v>
      </c>
      <c r="C87" s="3" t="s">
        <v>6</v>
      </c>
      <c r="D87" s="3">
        <v>4</v>
      </c>
      <c r="E87" s="3">
        <v>20792</v>
      </c>
      <c r="F87" s="3">
        <v>45000</v>
      </c>
      <c r="G87" s="3" t="s">
        <v>14</v>
      </c>
      <c r="H87" s="3">
        <f>COUNTIF(Popu_data!C:C, C87)</f>
        <v>100</v>
      </c>
      <c r="I87" s="5">
        <f t="shared" si="3"/>
        <v>9.8814229249011856</v>
      </c>
      <c r="J87" s="3">
        <v>0.30531130645090099</v>
      </c>
    </row>
    <row r="88" spans="1:10" x14ac:dyDescent="0.25">
      <c r="A88" s="3" t="s">
        <v>83</v>
      </c>
      <c r="B88" s="3">
        <v>69</v>
      </c>
      <c r="C88" s="3" t="s">
        <v>13</v>
      </c>
      <c r="D88" s="3">
        <v>4</v>
      </c>
      <c r="E88" s="3">
        <v>6167</v>
      </c>
      <c r="F88" s="3">
        <v>3000</v>
      </c>
      <c r="G88" s="3" t="s">
        <v>14</v>
      </c>
      <c r="H88" s="3">
        <f>COUNTIF(Popu_data!C:C, C88)</f>
        <v>35</v>
      </c>
      <c r="I88" s="5">
        <v>4</v>
      </c>
      <c r="J88" s="3">
        <v>0.30554592805659042</v>
      </c>
    </row>
    <row r="89" spans="1:10" x14ac:dyDescent="0.25">
      <c r="A89" s="3" t="s">
        <v>36</v>
      </c>
      <c r="B89" s="3">
        <v>24</v>
      </c>
      <c r="C89" s="3" t="s">
        <v>6</v>
      </c>
      <c r="D89" s="3">
        <v>4</v>
      </c>
      <c r="E89" s="3">
        <v>9717</v>
      </c>
      <c r="F89" s="3">
        <v>9000</v>
      </c>
      <c r="G89" s="3" t="s">
        <v>7</v>
      </c>
      <c r="H89" s="3">
        <f>COUNTIF(Popu_data!C:C, C89)</f>
        <v>100</v>
      </c>
      <c r="I89" s="5">
        <f t="shared" ref="I89:I94" si="4">H89/253*25</f>
        <v>9.8814229249011856</v>
      </c>
      <c r="J89" s="3">
        <v>0.32421660300754973</v>
      </c>
    </row>
    <row r="90" spans="1:10" x14ac:dyDescent="0.25">
      <c r="A90" s="3" t="s">
        <v>195</v>
      </c>
      <c r="B90" s="3">
        <v>181</v>
      </c>
      <c r="C90" s="3" t="s">
        <v>3</v>
      </c>
      <c r="D90" s="3">
        <v>4</v>
      </c>
      <c r="E90" s="3">
        <v>7867</v>
      </c>
      <c r="F90" s="3">
        <v>12000</v>
      </c>
      <c r="G90" s="3" t="s">
        <v>10</v>
      </c>
      <c r="H90" s="3">
        <f>COUNTIF(Popu_data!C:C, C90)</f>
        <v>75</v>
      </c>
      <c r="I90" s="5">
        <f t="shared" si="4"/>
        <v>7.4110671936758896</v>
      </c>
      <c r="J90" s="3">
        <v>0.30619798795172126</v>
      </c>
    </row>
    <row r="91" spans="1:10" x14ac:dyDescent="0.25">
      <c r="A91" s="3" t="s">
        <v>46</v>
      </c>
      <c r="B91" s="3">
        <v>32</v>
      </c>
      <c r="C91" s="3" t="s">
        <v>6</v>
      </c>
      <c r="D91" s="3">
        <v>3</v>
      </c>
      <c r="E91" s="3">
        <v>10542</v>
      </c>
      <c r="F91" s="3">
        <v>10000</v>
      </c>
      <c r="G91" s="3" t="s">
        <v>10</v>
      </c>
      <c r="H91" s="3">
        <f>COUNTIF(Popu_data!C:C, C91)</f>
        <v>100</v>
      </c>
      <c r="I91" s="5">
        <f t="shared" si="4"/>
        <v>9.8814229249011856</v>
      </c>
      <c r="J91" s="3">
        <v>0.328729334219652</v>
      </c>
    </row>
    <row r="92" spans="1:10" x14ac:dyDescent="0.25">
      <c r="A92" s="3" t="s">
        <v>200</v>
      </c>
      <c r="B92" s="3">
        <v>186</v>
      </c>
      <c r="C92" s="3" t="s">
        <v>3</v>
      </c>
      <c r="D92" s="3">
        <v>3</v>
      </c>
      <c r="E92" s="3">
        <v>7201</v>
      </c>
      <c r="F92" s="3">
        <v>5400</v>
      </c>
      <c r="G92" s="3" t="s">
        <v>7</v>
      </c>
      <c r="H92" s="3">
        <f>COUNTIF(Popu_data!C:C, C92)</f>
        <v>75</v>
      </c>
      <c r="I92" s="5">
        <f t="shared" si="4"/>
        <v>7.4110671936758896</v>
      </c>
      <c r="J92" s="3">
        <v>0.30688992264709269</v>
      </c>
    </row>
    <row r="93" spans="1:10" x14ac:dyDescent="0.25">
      <c r="A93" s="3" t="s">
        <v>255</v>
      </c>
      <c r="B93" s="3">
        <v>241</v>
      </c>
      <c r="C93" s="3" t="s">
        <v>6</v>
      </c>
      <c r="D93" s="3">
        <v>4</v>
      </c>
      <c r="E93" s="3">
        <v>11271</v>
      </c>
      <c r="F93" s="3">
        <v>14500</v>
      </c>
      <c r="G93" s="3" t="s">
        <v>14</v>
      </c>
      <c r="H93" s="3">
        <f>COUNTIF(Popu_data!C:C, C93)</f>
        <v>100</v>
      </c>
      <c r="I93" s="5">
        <f t="shared" si="4"/>
        <v>9.8814229249011856</v>
      </c>
      <c r="J93" s="3">
        <v>0.32889928621234066</v>
      </c>
    </row>
    <row r="94" spans="1:10" x14ac:dyDescent="0.25">
      <c r="A94" s="3" t="s">
        <v>128</v>
      </c>
      <c r="B94" s="3">
        <v>114</v>
      </c>
      <c r="C94" s="3" t="s">
        <v>3</v>
      </c>
      <c r="D94" s="3">
        <v>3</v>
      </c>
      <c r="E94" s="3">
        <v>18942</v>
      </c>
      <c r="F94" s="3">
        <v>28000</v>
      </c>
      <c r="G94" s="3" t="s">
        <v>4</v>
      </c>
      <c r="H94" s="3">
        <f>COUNTIF(Popu_data!C:C, C94)</f>
        <v>75</v>
      </c>
      <c r="I94" s="5">
        <f t="shared" si="4"/>
        <v>7.4110671936758896</v>
      </c>
      <c r="J94" s="3">
        <v>0.31074297836159237</v>
      </c>
    </row>
    <row r="95" spans="1:10" x14ac:dyDescent="0.25">
      <c r="A95" s="3" t="s">
        <v>186</v>
      </c>
      <c r="B95" s="3">
        <v>172</v>
      </c>
      <c r="C95" s="3" t="s">
        <v>13</v>
      </c>
      <c r="D95" s="3">
        <v>3</v>
      </c>
      <c r="E95" s="3">
        <v>23750</v>
      </c>
      <c r="F95" s="3">
        <v>17000</v>
      </c>
      <c r="G95" s="3" t="s">
        <v>7</v>
      </c>
      <c r="H95" s="3">
        <f>COUNTIF(Popu_data!C:C, C95)</f>
        <v>35</v>
      </c>
      <c r="I95" s="5">
        <v>4</v>
      </c>
      <c r="J95" s="3">
        <v>0.3950773646183724</v>
      </c>
    </row>
    <row r="96" spans="1:10" x14ac:dyDescent="0.25">
      <c r="A96" s="3" t="s">
        <v>66</v>
      </c>
      <c r="B96" s="3">
        <v>52</v>
      </c>
      <c r="C96" s="3" t="s">
        <v>24</v>
      </c>
      <c r="D96" s="3">
        <v>8</v>
      </c>
      <c r="E96" s="3">
        <v>13183</v>
      </c>
      <c r="F96" s="3">
        <v>9500</v>
      </c>
      <c r="G96" s="3" t="s">
        <v>4</v>
      </c>
      <c r="H96" s="3">
        <f>COUNTIF(Popu_data!C:C, C96)</f>
        <v>43</v>
      </c>
      <c r="I96" s="5">
        <f>H96/253*25</f>
        <v>4.2490118577075098</v>
      </c>
      <c r="J96" s="3">
        <v>0.21264318453590925</v>
      </c>
    </row>
    <row r="97" spans="1:10" x14ac:dyDescent="0.25">
      <c r="A97" s="3" t="s">
        <v>65</v>
      </c>
      <c r="B97" s="3">
        <v>51</v>
      </c>
      <c r="C97" s="3" t="s">
        <v>3</v>
      </c>
      <c r="D97" s="3">
        <v>2</v>
      </c>
      <c r="E97" s="3">
        <v>3133</v>
      </c>
      <c r="F97" s="3">
        <v>4000</v>
      </c>
      <c r="G97" s="3" t="s">
        <v>20</v>
      </c>
      <c r="H97" s="3">
        <f>COUNTIF(Popu_data!C:C, C97)</f>
        <v>75</v>
      </c>
      <c r="I97" s="5">
        <f>H97/253*25</f>
        <v>7.4110671936758896</v>
      </c>
      <c r="J97" s="3">
        <v>0.32043578651308191</v>
      </c>
    </row>
    <row r="98" spans="1:10" x14ac:dyDescent="0.25">
      <c r="A98" s="3" t="s">
        <v>27</v>
      </c>
      <c r="B98" s="3">
        <v>16</v>
      </c>
      <c r="C98" s="3" t="s">
        <v>6</v>
      </c>
      <c r="D98" s="3">
        <v>2</v>
      </c>
      <c r="E98" s="3">
        <v>8375</v>
      </c>
      <c r="F98" s="3">
        <v>8500</v>
      </c>
      <c r="G98" s="3" t="s">
        <v>7</v>
      </c>
      <c r="H98" s="3">
        <f>COUNTIF(Popu_data!C:C, C98)</f>
        <v>100</v>
      </c>
      <c r="I98" s="5">
        <f>H98/253*25</f>
        <v>9.8814229249011856</v>
      </c>
      <c r="J98" s="3">
        <v>0.34568088748000692</v>
      </c>
    </row>
    <row r="99" spans="1:10" x14ac:dyDescent="0.25">
      <c r="A99" s="3" t="s">
        <v>199</v>
      </c>
      <c r="B99" s="3">
        <v>185</v>
      </c>
      <c r="C99" s="3" t="s">
        <v>3</v>
      </c>
      <c r="D99" s="3">
        <v>1</v>
      </c>
      <c r="E99" s="3">
        <v>7375</v>
      </c>
      <c r="F99" s="3">
        <v>3500</v>
      </c>
      <c r="G99" s="3" t="s">
        <v>4</v>
      </c>
      <c r="H99" s="3">
        <f>COUNTIF(Popu_data!C:C, C99)</f>
        <v>75</v>
      </c>
      <c r="I99" s="5">
        <f>H99/253*25</f>
        <v>7.4110671936758896</v>
      </c>
      <c r="J99" s="3">
        <v>0.33166565561752115</v>
      </c>
    </row>
    <row r="100" spans="1:10" x14ac:dyDescent="0.25">
      <c r="A100" s="3" t="s">
        <v>257</v>
      </c>
      <c r="B100" s="3">
        <v>243</v>
      </c>
      <c r="C100" s="3" t="s">
        <v>13</v>
      </c>
      <c r="D100" s="3">
        <v>5</v>
      </c>
      <c r="E100" s="3">
        <v>17583</v>
      </c>
      <c r="F100" s="3">
        <v>15000</v>
      </c>
      <c r="G100" s="3" t="s">
        <v>4</v>
      </c>
      <c r="H100" s="3">
        <f>COUNTIF(Popu_data!C:C, C100)</f>
        <v>35</v>
      </c>
      <c r="I100" s="5">
        <v>4</v>
      </c>
      <c r="J100" s="3">
        <v>0.43091995462640242</v>
      </c>
    </row>
    <row r="101" spans="1:10" x14ac:dyDescent="0.25">
      <c r="A101" s="3" t="s">
        <v>196</v>
      </c>
      <c r="B101" s="3">
        <v>182</v>
      </c>
      <c r="C101" s="3" t="s">
        <v>3</v>
      </c>
      <c r="D101" s="3">
        <v>3</v>
      </c>
      <c r="E101" s="3">
        <v>20463</v>
      </c>
      <c r="F101" s="3">
        <v>10850</v>
      </c>
      <c r="G101" s="3" t="s">
        <v>14</v>
      </c>
      <c r="H101" s="3">
        <f>COUNTIF(Popu_data!C:C, C101)</f>
        <v>75</v>
      </c>
      <c r="I101" s="5">
        <f>H101/253*25</f>
        <v>7.4110671936758896</v>
      </c>
      <c r="J101" s="3">
        <v>0.33543756954167137</v>
      </c>
    </row>
    <row r="102" spans="1:10" x14ac:dyDescent="0.25">
      <c r="A102" s="3" t="s">
        <v>67</v>
      </c>
      <c r="B102" s="3">
        <v>53</v>
      </c>
      <c r="C102" s="3" t="s">
        <v>13</v>
      </c>
      <c r="D102" s="3">
        <v>3</v>
      </c>
      <c r="E102" s="3">
        <v>16805</v>
      </c>
      <c r="F102" s="3">
        <v>9660</v>
      </c>
      <c r="G102" s="3" t="s">
        <v>4</v>
      </c>
      <c r="H102" s="3">
        <f>COUNTIF(Popu_data!C:C, C102)</f>
        <v>35</v>
      </c>
      <c r="I102" s="5">
        <v>4</v>
      </c>
      <c r="J102" s="3">
        <v>0.45796493541724737</v>
      </c>
    </row>
    <row r="103" spans="1:10" x14ac:dyDescent="0.25">
      <c r="A103" s="3" t="s">
        <v>52</v>
      </c>
      <c r="B103" s="3">
        <v>38</v>
      </c>
      <c r="C103" s="3" t="s">
        <v>6</v>
      </c>
      <c r="D103" s="3">
        <v>3</v>
      </c>
      <c r="E103" s="3">
        <v>23750</v>
      </c>
      <c r="F103" s="3">
        <v>15000</v>
      </c>
      <c r="G103" s="3" t="s">
        <v>4</v>
      </c>
      <c r="H103" s="3">
        <f>COUNTIF(Popu_data!C:C, C103)</f>
        <v>100</v>
      </c>
      <c r="I103" s="5">
        <f>H103/253*25</f>
        <v>9.8814229249011856</v>
      </c>
      <c r="J103" s="3">
        <v>0.35847510861254461</v>
      </c>
    </row>
    <row r="104" spans="1:10" x14ac:dyDescent="0.25">
      <c r="A104" s="3" t="s">
        <v>143</v>
      </c>
      <c r="B104" s="3">
        <v>129</v>
      </c>
      <c r="C104" s="3" t="s">
        <v>13</v>
      </c>
      <c r="D104" s="3">
        <v>2</v>
      </c>
      <c r="E104" s="3">
        <v>18567</v>
      </c>
      <c r="F104" s="3">
        <v>14000</v>
      </c>
      <c r="G104" s="3" t="s">
        <v>4</v>
      </c>
      <c r="H104" s="3">
        <f>COUNTIF(Popu_data!C:C, C104)</f>
        <v>35</v>
      </c>
      <c r="I104" s="5">
        <v>4</v>
      </c>
      <c r="J104" s="3">
        <v>0.45952140565358324</v>
      </c>
    </row>
    <row r="105" spans="1:10" x14ac:dyDescent="0.25">
      <c r="A105" s="3" t="s">
        <v>192</v>
      </c>
      <c r="B105" s="3">
        <v>178</v>
      </c>
      <c r="C105" s="3" t="s">
        <v>13</v>
      </c>
      <c r="D105" s="3">
        <v>6</v>
      </c>
      <c r="E105" s="3">
        <v>23250</v>
      </c>
      <c r="F105" s="3">
        <v>30000</v>
      </c>
      <c r="G105" s="3" t="s">
        <v>45</v>
      </c>
      <c r="H105" s="3">
        <f>COUNTIF(Popu_data!C:C, C105)</f>
        <v>35</v>
      </c>
      <c r="I105" s="5">
        <v>4</v>
      </c>
      <c r="J105" s="3">
        <v>0.48298955556339429</v>
      </c>
    </row>
    <row r="106" spans="1:10" x14ac:dyDescent="0.25">
      <c r="A106" s="3" t="s">
        <v>44</v>
      </c>
      <c r="B106" s="3">
        <v>31</v>
      </c>
      <c r="C106" s="3" t="s">
        <v>6</v>
      </c>
      <c r="D106" s="3">
        <v>5</v>
      </c>
      <c r="E106" s="3">
        <v>22342</v>
      </c>
      <c r="F106" s="3">
        <v>14500</v>
      </c>
      <c r="G106" s="3" t="s">
        <v>45</v>
      </c>
      <c r="H106" s="3">
        <f>COUNTIF(Popu_data!C:C, C106)</f>
        <v>100</v>
      </c>
      <c r="I106" s="5">
        <f t="shared" ref="I106:I119" si="5">H106/253*25</f>
        <v>9.8814229249011856</v>
      </c>
      <c r="J106" s="3">
        <v>0.35938378387788772</v>
      </c>
    </row>
    <row r="107" spans="1:10" x14ac:dyDescent="0.25">
      <c r="A107" s="3" t="s">
        <v>100</v>
      </c>
      <c r="B107" s="3">
        <v>86</v>
      </c>
      <c r="C107" s="3" t="s">
        <v>6</v>
      </c>
      <c r="D107" s="3">
        <v>1</v>
      </c>
      <c r="E107" s="3">
        <v>1457</v>
      </c>
      <c r="F107" s="3">
        <v>680</v>
      </c>
      <c r="G107" s="3" t="s">
        <v>7</v>
      </c>
      <c r="H107" s="3">
        <f>COUNTIF(Popu_data!C:C, C107)</f>
        <v>100</v>
      </c>
      <c r="I107" s="5">
        <f t="shared" si="5"/>
        <v>9.8814229249011856</v>
      </c>
      <c r="J107" s="3">
        <v>0.40833694054885172</v>
      </c>
    </row>
    <row r="108" spans="1:10" x14ac:dyDescent="0.25">
      <c r="A108" s="3" t="s">
        <v>222</v>
      </c>
      <c r="B108" s="3">
        <v>208</v>
      </c>
      <c r="C108" s="3" t="s">
        <v>6</v>
      </c>
      <c r="D108" s="3">
        <v>8</v>
      </c>
      <c r="E108" s="3">
        <v>10800</v>
      </c>
      <c r="F108" s="3">
        <v>15000</v>
      </c>
      <c r="G108" s="3" t="s">
        <v>14</v>
      </c>
      <c r="H108" s="3">
        <f>COUNTIF(Popu_data!C:C, C108)</f>
        <v>100</v>
      </c>
      <c r="I108" s="5">
        <f t="shared" si="5"/>
        <v>9.8814229249011856</v>
      </c>
      <c r="J108" s="3">
        <v>0.42282056454964467</v>
      </c>
    </row>
    <row r="109" spans="1:10" x14ac:dyDescent="0.25">
      <c r="A109" s="3" t="s">
        <v>82</v>
      </c>
      <c r="B109" s="3">
        <v>68</v>
      </c>
      <c r="C109" s="3" t="s">
        <v>24</v>
      </c>
      <c r="D109" s="3">
        <v>3</v>
      </c>
      <c r="E109" s="3">
        <v>8680</v>
      </c>
      <c r="F109" s="3">
        <v>4060</v>
      </c>
      <c r="G109" s="3" t="s">
        <v>14</v>
      </c>
      <c r="H109" s="3">
        <f>COUNTIF(Popu_data!C:C, C109)</f>
        <v>43</v>
      </c>
      <c r="I109" s="5">
        <f t="shared" si="5"/>
        <v>4.2490118577075098</v>
      </c>
      <c r="J109" s="3">
        <v>0.24823762859610543</v>
      </c>
    </row>
    <row r="110" spans="1:10" x14ac:dyDescent="0.25">
      <c r="A110" s="3" t="s">
        <v>226</v>
      </c>
      <c r="B110" s="3">
        <v>212</v>
      </c>
      <c r="C110" s="3" t="s">
        <v>6</v>
      </c>
      <c r="D110" s="3">
        <v>4</v>
      </c>
      <c r="E110" s="3">
        <v>20243</v>
      </c>
      <c r="F110" s="3">
        <v>10000</v>
      </c>
      <c r="G110" s="3" t="s">
        <v>4</v>
      </c>
      <c r="H110" s="3">
        <f>COUNTIF(Popu_data!C:C, C110)</f>
        <v>100</v>
      </c>
      <c r="I110" s="5">
        <f t="shared" si="5"/>
        <v>9.8814229249011856</v>
      </c>
      <c r="J110" s="3">
        <v>0.43743149728154507</v>
      </c>
    </row>
    <row r="111" spans="1:10" x14ac:dyDescent="0.25">
      <c r="A111" s="3" t="s">
        <v>109</v>
      </c>
      <c r="B111" s="3">
        <v>95</v>
      </c>
      <c r="C111" s="3" t="s">
        <v>24</v>
      </c>
      <c r="D111" s="3">
        <v>5</v>
      </c>
      <c r="E111" s="3">
        <v>14521</v>
      </c>
      <c r="F111" s="3">
        <v>20300</v>
      </c>
      <c r="G111" s="3" t="s">
        <v>45</v>
      </c>
      <c r="H111" s="3">
        <f>COUNTIF(Popu_data!C:C, C111)</f>
        <v>43</v>
      </c>
      <c r="I111" s="5">
        <f t="shared" si="5"/>
        <v>4.2490118577075098</v>
      </c>
      <c r="J111" s="3">
        <v>0.2779344227778715</v>
      </c>
    </row>
    <row r="112" spans="1:10" x14ac:dyDescent="0.25">
      <c r="A112" s="3" t="s">
        <v>218</v>
      </c>
      <c r="B112" s="3">
        <v>204</v>
      </c>
      <c r="C112" s="3" t="s">
        <v>24</v>
      </c>
      <c r="D112" s="3">
        <v>3</v>
      </c>
      <c r="E112" s="3">
        <v>7575</v>
      </c>
      <c r="F112" s="3">
        <v>4500</v>
      </c>
      <c r="G112" s="3" t="s">
        <v>10</v>
      </c>
      <c r="H112" s="3">
        <f>COUNTIF(Popu_data!C:C, C112)</f>
        <v>43</v>
      </c>
      <c r="I112" s="5">
        <f t="shared" si="5"/>
        <v>4.2490118577075098</v>
      </c>
      <c r="J112" s="3">
        <v>0.28201927990706921</v>
      </c>
    </row>
    <row r="113" spans="1:10" x14ac:dyDescent="0.25">
      <c r="A113" s="3" t="s">
        <v>91</v>
      </c>
      <c r="B113" s="3">
        <v>77</v>
      </c>
      <c r="C113" s="3" t="s">
        <v>6</v>
      </c>
      <c r="D113" s="3">
        <v>4</v>
      </c>
      <c r="E113" s="3">
        <v>7055</v>
      </c>
      <c r="F113" s="3">
        <v>7589</v>
      </c>
      <c r="G113" s="3" t="s">
        <v>34</v>
      </c>
      <c r="H113" s="3">
        <f>COUNTIF(Popu_data!C:C, C113)</f>
        <v>100</v>
      </c>
      <c r="I113" s="5">
        <f t="shared" si="5"/>
        <v>9.8814229249011856</v>
      </c>
      <c r="J113" s="3">
        <v>0.45693015490416922</v>
      </c>
    </row>
    <row r="114" spans="1:10" x14ac:dyDescent="0.25">
      <c r="A114" s="3" t="s">
        <v>224</v>
      </c>
      <c r="B114" s="3">
        <v>210</v>
      </c>
      <c r="C114" s="3" t="s">
        <v>3</v>
      </c>
      <c r="D114" s="3">
        <v>2</v>
      </c>
      <c r="E114" s="3">
        <v>11667</v>
      </c>
      <c r="F114" s="3">
        <v>5000</v>
      </c>
      <c r="G114" s="3" t="s">
        <v>10</v>
      </c>
      <c r="H114" s="3">
        <f>COUNTIF(Popu_data!C:C, C114)</f>
        <v>75</v>
      </c>
      <c r="I114" s="5">
        <f t="shared" si="5"/>
        <v>7.4110671936758896</v>
      </c>
      <c r="J114" s="3">
        <v>0.35291341586058855</v>
      </c>
    </row>
    <row r="115" spans="1:10" x14ac:dyDescent="0.25">
      <c r="A115" s="3" t="s">
        <v>247</v>
      </c>
      <c r="B115" s="3">
        <v>233</v>
      </c>
      <c r="C115" s="3" t="s">
        <v>3</v>
      </c>
      <c r="D115" s="3">
        <v>5</v>
      </c>
      <c r="E115" s="3">
        <v>19830</v>
      </c>
      <c r="F115" s="3">
        <v>15000</v>
      </c>
      <c r="G115" s="3" t="s">
        <v>4</v>
      </c>
      <c r="H115" s="3">
        <f>COUNTIF(Popu_data!C:C, C115)</f>
        <v>75</v>
      </c>
      <c r="I115" s="5">
        <f t="shared" si="5"/>
        <v>7.4110671936758896</v>
      </c>
      <c r="J115" s="3">
        <v>0.36915658872845425</v>
      </c>
    </row>
    <row r="116" spans="1:10" x14ac:dyDescent="0.25">
      <c r="A116" s="3" t="s">
        <v>129</v>
      </c>
      <c r="B116" s="3">
        <v>115</v>
      </c>
      <c r="C116" s="3" t="s">
        <v>24</v>
      </c>
      <c r="D116" s="3">
        <v>5</v>
      </c>
      <c r="E116" s="3">
        <v>9475</v>
      </c>
      <c r="F116" s="3">
        <v>5000</v>
      </c>
      <c r="G116" s="3" t="s">
        <v>7</v>
      </c>
      <c r="H116" s="3">
        <f>COUNTIF(Popu_data!C:C, C116)</f>
        <v>43</v>
      </c>
      <c r="I116" s="5">
        <f t="shared" si="5"/>
        <v>4.2490118577075098</v>
      </c>
      <c r="J116" s="3">
        <v>0.28755706851311114</v>
      </c>
    </row>
    <row r="117" spans="1:10" x14ac:dyDescent="0.25">
      <c r="A117" s="3" t="s">
        <v>47</v>
      </c>
      <c r="B117" s="3">
        <v>33</v>
      </c>
      <c r="C117" s="3" t="s">
        <v>3</v>
      </c>
      <c r="D117" s="3">
        <v>5</v>
      </c>
      <c r="E117" s="3">
        <v>13333</v>
      </c>
      <c r="F117" s="3">
        <v>3000</v>
      </c>
      <c r="G117" s="3" t="s">
        <v>10</v>
      </c>
      <c r="H117" s="3">
        <f>COUNTIF(Popu_data!C:C, C117)</f>
        <v>75</v>
      </c>
      <c r="I117" s="5">
        <f t="shared" si="5"/>
        <v>7.4110671936758896</v>
      </c>
      <c r="J117" s="3">
        <v>0.37476123354654911</v>
      </c>
    </row>
    <row r="118" spans="1:10" x14ac:dyDescent="0.25">
      <c r="A118" s="3" t="s">
        <v>78</v>
      </c>
      <c r="B118" s="3">
        <v>64</v>
      </c>
      <c r="C118" s="3" t="s">
        <v>24</v>
      </c>
      <c r="D118" s="3">
        <v>3</v>
      </c>
      <c r="E118" s="3">
        <v>18975</v>
      </c>
      <c r="F118" s="3">
        <v>14500</v>
      </c>
      <c r="G118" s="3" t="s">
        <v>45</v>
      </c>
      <c r="H118" s="3">
        <f>COUNTIF(Popu_data!C:C, C118)</f>
        <v>43</v>
      </c>
      <c r="I118" s="5">
        <f t="shared" si="5"/>
        <v>4.2490118577075098</v>
      </c>
      <c r="J118" s="3">
        <v>0.28891651735399015</v>
      </c>
    </row>
    <row r="119" spans="1:10" x14ac:dyDescent="0.25">
      <c r="A119" s="3" t="s">
        <v>130</v>
      </c>
      <c r="B119" s="3">
        <v>116</v>
      </c>
      <c r="C119" s="3" t="s">
        <v>3</v>
      </c>
      <c r="D119" s="3">
        <v>3</v>
      </c>
      <c r="E119" s="3">
        <v>8760</v>
      </c>
      <c r="F119" s="3">
        <v>9000</v>
      </c>
      <c r="G119" s="3" t="s">
        <v>14</v>
      </c>
      <c r="H119" s="3">
        <f>COUNTIF(Popu_data!C:C, C119)</f>
        <v>75</v>
      </c>
      <c r="I119" s="5">
        <f t="shared" si="5"/>
        <v>7.4110671936758896</v>
      </c>
      <c r="J119" s="3">
        <v>0.37842859519517702</v>
      </c>
    </row>
    <row r="120" spans="1:10" x14ac:dyDescent="0.25">
      <c r="A120" s="3" t="s">
        <v>165</v>
      </c>
      <c r="B120" s="3">
        <v>151</v>
      </c>
      <c r="C120" s="3" t="s">
        <v>13</v>
      </c>
      <c r="D120" s="3">
        <v>4</v>
      </c>
      <c r="E120" s="3">
        <v>9067</v>
      </c>
      <c r="F120" s="3">
        <v>9000</v>
      </c>
      <c r="G120" s="3" t="s">
        <v>10</v>
      </c>
      <c r="H120" s="3">
        <f>COUNTIF(Popu_data!C:C, C120)</f>
        <v>35</v>
      </c>
      <c r="I120" s="5">
        <v>4</v>
      </c>
      <c r="J120" s="3">
        <v>0.48338494826922651</v>
      </c>
    </row>
    <row r="121" spans="1:10" x14ac:dyDescent="0.25">
      <c r="A121" s="3" t="s">
        <v>166</v>
      </c>
      <c r="B121" s="3">
        <v>152</v>
      </c>
      <c r="C121" s="3" t="s">
        <v>6</v>
      </c>
      <c r="D121" s="3">
        <v>3</v>
      </c>
      <c r="E121" s="3">
        <v>10167</v>
      </c>
      <c r="F121" s="3">
        <v>12000</v>
      </c>
      <c r="G121" s="3" t="s">
        <v>14</v>
      </c>
      <c r="H121" s="3">
        <f>COUNTIF(Popu_data!C:C, C121)</f>
        <v>100</v>
      </c>
      <c r="I121" s="5">
        <f t="shared" ref="I121:I129" si="6">H121/253*25</f>
        <v>9.8814229249011856</v>
      </c>
      <c r="J121" s="3">
        <v>0.46860172464433592</v>
      </c>
    </row>
    <row r="122" spans="1:10" x14ac:dyDescent="0.25">
      <c r="A122" s="3" t="s">
        <v>32</v>
      </c>
      <c r="B122" s="3">
        <v>21</v>
      </c>
      <c r="C122" s="3" t="s">
        <v>6</v>
      </c>
      <c r="D122" s="3">
        <v>6</v>
      </c>
      <c r="E122" s="3">
        <v>6320</v>
      </c>
      <c r="F122" s="3">
        <v>12000</v>
      </c>
      <c r="G122" s="3" t="s">
        <v>14</v>
      </c>
      <c r="H122" s="3">
        <f>COUNTIF(Popu_data!C:C, C122)</f>
        <v>100</v>
      </c>
      <c r="I122" s="5">
        <f t="shared" si="6"/>
        <v>9.8814229249011856</v>
      </c>
      <c r="J122" s="3">
        <v>0.50081200118294322</v>
      </c>
    </row>
    <row r="123" spans="1:10" x14ac:dyDescent="0.25">
      <c r="A123" s="3" t="s">
        <v>122</v>
      </c>
      <c r="B123" s="3">
        <v>108</v>
      </c>
      <c r="C123" s="3" t="s">
        <v>24</v>
      </c>
      <c r="D123" s="3">
        <v>4</v>
      </c>
      <c r="E123" s="3">
        <v>11679</v>
      </c>
      <c r="F123" s="3">
        <v>6750</v>
      </c>
      <c r="G123" s="3" t="s">
        <v>14</v>
      </c>
      <c r="H123" s="3">
        <f>COUNTIF(Popu_data!C:C, C123)</f>
        <v>43</v>
      </c>
      <c r="I123" s="5">
        <f t="shared" si="6"/>
        <v>4.2490118577075098</v>
      </c>
      <c r="J123" s="3">
        <v>0.35882948447052998</v>
      </c>
    </row>
    <row r="124" spans="1:10" x14ac:dyDescent="0.25">
      <c r="A124" s="3" t="s">
        <v>184</v>
      </c>
      <c r="B124" s="3">
        <v>170</v>
      </c>
      <c r="C124" s="3" t="s">
        <v>3</v>
      </c>
      <c r="D124" s="3">
        <v>4</v>
      </c>
      <c r="E124" s="3">
        <v>10217</v>
      </c>
      <c r="F124" s="3">
        <v>23800</v>
      </c>
      <c r="G124" s="3" t="s">
        <v>14</v>
      </c>
      <c r="H124" s="3">
        <f>COUNTIF(Popu_data!C:C, C124)</f>
        <v>75</v>
      </c>
      <c r="I124" s="5">
        <f t="shared" si="6"/>
        <v>7.4110671936758896</v>
      </c>
      <c r="J124" s="3">
        <v>0.39382263925699668</v>
      </c>
    </row>
    <row r="125" spans="1:10" x14ac:dyDescent="0.25">
      <c r="A125" s="3" t="s">
        <v>148</v>
      </c>
      <c r="B125" s="3">
        <v>134</v>
      </c>
      <c r="C125" s="3" t="s">
        <v>6</v>
      </c>
      <c r="D125" s="3">
        <v>2</v>
      </c>
      <c r="E125" s="3">
        <v>4783</v>
      </c>
      <c r="F125" s="3">
        <v>4000</v>
      </c>
      <c r="G125" s="3" t="s">
        <v>7</v>
      </c>
      <c r="H125" s="3">
        <f>COUNTIF(Popu_data!C:C, C125)</f>
        <v>100</v>
      </c>
      <c r="I125" s="5">
        <f t="shared" si="6"/>
        <v>9.8814229249011856</v>
      </c>
      <c r="J125" s="3">
        <v>0.50997416462049183</v>
      </c>
    </row>
    <row r="126" spans="1:10" x14ac:dyDescent="0.25">
      <c r="A126" s="3" t="s">
        <v>174</v>
      </c>
      <c r="B126" s="3">
        <v>160</v>
      </c>
      <c r="C126" s="3" t="s">
        <v>6</v>
      </c>
      <c r="D126" s="3">
        <v>4</v>
      </c>
      <c r="E126" s="3">
        <v>10067</v>
      </c>
      <c r="F126" s="3">
        <v>5000</v>
      </c>
      <c r="G126" s="3" t="s">
        <v>10</v>
      </c>
      <c r="H126" s="3">
        <f>COUNTIF(Popu_data!C:C, C126)</f>
        <v>100</v>
      </c>
      <c r="I126" s="5">
        <f t="shared" si="6"/>
        <v>9.8814229249011856</v>
      </c>
      <c r="J126" s="3">
        <v>0.51075718395392544</v>
      </c>
    </row>
    <row r="127" spans="1:10" x14ac:dyDescent="0.25">
      <c r="A127" s="3" t="s">
        <v>95</v>
      </c>
      <c r="B127" s="3">
        <v>81</v>
      </c>
      <c r="C127" s="3" t="s">
        <v>6</v>
      </c>
      <c r="D127" s="3">
        <v>8</v>
      </c>
      <c r="E127" s="3">
        <v>11250</v>
      </c>
      <c r="F127" s="3">
        <v>18500</v>
      </c>
      <c r="G127" s="3" t="s">
        <v>14</v>
      </c>
      <c r="H127" s="3">
        <f>COUNTIF(Popu_data!C:C, C127)</f>
        <v>100</v>
      </c>
      <c r="I127" s="5">
        <f t="shared" si="6"/>
        <v>9.8814229249011856</v>
      </c>
      <c r="J127" s="3">
        <v>0.51482050910332233</v>
      </c>
    </row>
    <row r="128" spans="1:10" x14ac:dyDescent="0.25">
      <c r="A128" s="3" t="s">
        <v>58</v>
      </c>
      <c r="B128" s="3">
        <v>44</v>
      </c>
      <c r="C128" s="3" t="s">
        <v>6</v>
      </c>
      <c r="D128" s="3">
        <v>5</v>
      </c>
      <c r="E128" s="3">
        <v>7020</v>
      </c>
      <c r="F128" s="3">
        <v>12000</v>
      </c>
      <c r="G128" s="3" t="s">
        <v>34</v>
      </c>
      <c r="H128" s="3">
        <f>COUNTIF(Popu_data!C:C, C128)</f>
        <v>100</v>
      </c>
      <c r="I128" s="5">
        <f t="shared" si="6"/>
        <v>9.8814229249011856</v>
      </c>
      <c r="J128" s="3">
        <v>0.52806752596919959</v>
      </c>
    </row>
    <row r="129" spans="1:10" x14ac:dyDescent="0.25">
      <c r="A129" s="3" t="s">
        <v>157</v>
      </c>
      <c r="B129" s="3">
        <v>143</v>
      </c>
      <c r="C129" s="3" t="s">
        <v>24</v>
      </c>
      <c r="D129" s="3">
        <v>6</v>
      </c>
      <c r="E129" s="3">
        <v>17983</v>
      </c>
      <c r="F129" s="3">
        <v>6500</v>
      </c>
      <c r="G129" s="3" t="s">
        <v>14</v>
      </c>
      <c r="H129" s="3">
        <f>COUNTIF(Popu_data!C:C, C129)</f>
        <v>43</v>
      </c>
      <c r="I129" s="5">
        <f t="shared" si="6"/>
        <v>4.2490118577075098</v>
      </c>
      <c r="J129" s="3">
        <v>0.36017020409032297</v>
      </c>
    </row>
    <row r="130" spans="1:10" x14ac:dyDescent="0.25">
      <c r="A130" s="3" t="s">
        <v>19</v>
      </c>
      <c r="B130" s="3">
        <v>10</v>
      </c>
      <c r="C130" s="3" t="s">
        <v>13</v>
      </c>
      <c r="D130" s="3">
        <v>3</v>
      </c>
      <c r="E130" s="3">
        <v>6338</v>
      </c>
      <c r="F130" s="3">
        <v>6500</v>
      </c>
      <c r="G130" s="3" t="s">
        <v>20</v>
      </c>
      <c r="H130" s="3">
        <f>COUNTIF(Popu_data!C:C, C130)</f>
        <v>35</v>
      </c>
      <c r="I130" s="5">
        <v>4</v>
      </c>
      <c r="J130" s="3">
        <v>0.48655910226006049</v>
      </c>
    </row>
    <row r="131" spans="1:10" x14ac:dyDescent="0.25">
      <c r="A131" s="3" t="s">
        <v>164</v>
      </c>
      <c r="B131" s="3">
        <v>150</v>
      </c>
      <c r="C131" s="3" t="s">
        <v>3</v>
      </c>
      <c r="D131" s="3">
        <v>3</v>
      </c>
      <c r="E131" s="3">
        <v>14083</v>
      </c>
      <c r="F131" s="3">
        <v>7500</v>
      </c>
      <c r="G131" s="3" t="s">
        <v>4</v>
      </c>
      <c r="H131" s="3">
        <f>COUNTIF(Popu_data!C:C, C131)</f>
        <v>75</v>
      </c>
      <c r="I131" s="5">
        <f>H131/253*25</f>
        <v>7.4110671936758896</v>
      </c>
      <c r="J131" s="3">
        <v>0.39646873364565149</v>
      </c>
    </row>
    <row r="132" spans="1:10" x14ac:dyDescent="0.25">
      <c r="A132" s="3" t="s">
        <v>235</v>
      </c>
      <c r="B132" s="3">
        <v>221</v>
      </c>
      <c r="C132" s="3" t="s">
        <v>6</v>
      </c>
      <c r="D132" s="3">
        <v>3</v>
      </c>
      <c r="E132" s="3">
        <v>19092</v>
      </c>
      <c r="F132" s="3">
        <v>13500</v>
      </c>
      <c r="G132" s="3" t="s">
        <v>10</v>
      </c>
      <c r="H132" s="3">
        <f>COUNTIF(Popu_data!C:C, C132)</f>
        <v>100</v>
      </c>
      <c r="I132" s="5">
        <f>H132/253*25</f>
        <v>9.8814229249011856</v>
      </c>
      <c r="J132" s="3">
        <v>0.56361664117568733</v>
      </c>
    </row>
    <row r="133" spans="1:10" x14ac:dyDescent="0.25">
      <c r="A133" s="3" t="s">
        <v>152</v>
      </c>
      <c r="B133" s="3">
        <v>138</v>
      </c>
      <c r="C133" s="3" t="s">
        <v>6</v>
      </c>
      <c r="D133" s="3">
        <v>4</v>
      </c>
      <c r="E133" s="3">
        <v>6717</v>
      </c>
      <c r="F133" s="3">
        <v>3000</v>
      </c>
      <c r="G133" s="3" t="s">
        <v>45</v>
      </c>
      <c r="H133" s="3">
        <f>COUNTIF(Popu_data!C:C, C133)</f>
        <v>100</v>
      </c>
      <c r="I133" s="5">
        <f>H133/253*25</f>
        <v>9.8814229249011856</v>
      </c>
      <c r="J133" s="3">
        <v>0.57635134494486939</v>
      </c>
    </row>
    <row r="134" spans="1:10" x14ac:dyDescent="0.25">
      <c r="A134" s="3" t="s">
        <v>93</v>
      </c>
      <c r="B134" s="3">
        <v>79</v>
      </c>
      <c r="C134" s="3" t="s">
        <v>13</v>
      </c>
      <c r="D134" s="3">
        <v>8</v>
      </c>
      <c r="E134" s="3">
        <v>17005</v>
      </c>
      <c r="F134" s="3">
        <v>15845</v>
      </c>
      <c r="G134" s="3" t="s">
        <v>14</v>
      </c>
      <c r="H134" s="3">
        <f>COUNTIF(Popu_data!C:C, C134)</f>
        <v>35</v>
      </c>
      <c r="I134" s="5">
        <v>4</v>
      </c>
      <c r="J134" s="3">
        <v>0.48905789795981636</v>
      </c>
    </row>
    <row r="135" spans="1:10" x14ac:dyDescent="0.25">
      <c r="A135" s="3" t="s">
        <v>180</v>
      </c>
      <c r="B135" s="3">
        <v>166</v>
      </c>
      <c r="C135" s="3" t="s">
        <v>6</v>
      </c>
      <c r="D135" s="3">
        <v>2</v>
      </c>
      <c r="E135" s="3">
        <v>5215</v>
      </c>
      <c r="F135" s="3">
        <v>5000</v>
      </c>
      <c r="G135" s="3" t="s">
        <v>45</v>
      </c>
      <c r="H135" s="3">
        <f>COUNTIF(Popu_data!C:C, C135)</f>
        <v>100</v>
      </c>
      <c r="I135" s="5">
        <f>H135/253*25</f>
        <v>9.8814229249011856</v>
      </c>
      <c r="J135" s="3">
        <v>0.57896244186675305</v>
      </c>
    </row>
    <row r="136" spans="1:10" x14ac:dyDescent="0.25">
      <c r="A136" s="3" t="s">
        <v>213</v>
      </c>
      <c r="B136" s="3">
        <v>199</v>
      </c>
      <c r="C136" s="3" t="s">
        <v>3</v>
      </c>
      <c r="D136" s="3">
        <v>6</v>
      </c>
      <c r="E136" s="3">
        <v>11470</v>
      </c>
      <c r="F136" s="3">
        <v>21000</v>
      </c>
      <c r="G136" s="3" t="s">
        <v>4</v>
      </c>
      <c r="H136" s="3">
        <f>COUNTIF(Popu_data!C:C, C136)</f>
        <v>75</v>
      </c>
      <c r="I136" s="5">
        <f>H136/253*25</f>
        <v>7.4110671936758896</v>
      </c>
      <c r="J136" s="3">
        <v>0.40413081241977478</v>
      </c>
    </row>
    <row r="137" spans="1:10" x14ac:dyDescent="0.25">
      <c r="A137" s="3" t="s">
        <v>113</v>
      </c>
      <c r="B137" s="3">
        <v>99</v>
      </c>
      <c r="C137" s="3" t="s">
        <v>13</v>
      </c>
      <c r="D137" s="3">
        <v>6</v>
      </c>
      <c r="E137" s="3">
        <v>6592</v>
      </c>
      <c r="F137" s="3">
        <v>6000</v>
      </c>
      <c r="G137" s="3" t="s">
        <v>7</v>
      </c>
      <c r="H137" s="3">
        <f>COUNTIF(Popu_data!C:C, C137)</f>
        <v>35</v>
      </c>
      <c r="I137" s="5">
        <v>4</v>
      </c>
      <c r="J137" s="3">
        <v>0.49505822184045767</v>
      </c>
    </row>
    <row r="138" spans="1:10" x14ac:dyDescent="0.25">
      <c r="A138" s="3" t="s">
        <v>87</v>
      </c>
      <c r="B138" s="3">
        <v>73</v>
      </c>
      <c r="C138" s="3" t="s">
        <v>13</v>
      </c>
      <c r="D138" s="3">
        <v>6</v>
      </c>
      <c r="E138" s="3">
        <v>17148</v>
      </c>
      <c r="F138" s="3">
        <v>20600</v>
      </c>
      <c r="G138" s="3" t="s">
        <v>14</v>
      </c>
      <c r="H138" s="3">
        <f>COUNTIF(Popu_data!C:C, C138)</f>
        <v>35</v>
      </c>
      <c r="I138" s="5">
        <v>4</v>
      </c>
      <c r="J138" s="3">
        <v>0.50579640622491262</v>
      </c>
    </row>
    <row r="139" spans="1:10" x14ac:dyDescent="0.25">
      <c r="A139" s="3" t="s">
        <v>244</v>
      </c>
      <c r="B139" s="3">
        <v>230</v>
      </c>
      <c r="C139" s="3" t="s">
        <v>6</v>
      </c>
      <c r="D139" s="3">
        <v>4</v>
      </c>
      <c r="E139" s="3">
        <v>8150</v>
      </c>
      <c r="F139" s="3">
        <v>7000</v>
      </c>
      <c r="G139" s="3" t="s">
        <v>7</v>
      </c>
      <c r="H139" s="3">
        <f>COUNTIF(Popu_data!C:C, C139)</f>
        <v>100</v>
      </c>
      <c r="I139" s="5">
        <f>H139/253*25</f>
        <v>9.8814229249011856</v>
      </c>
      <c r="J139" s="3">
        <v>0.59234397805893102</v>
      </c>
    </row>
    <row r="140" spans="1:10" x14ac:dyDescent="0.25">
      <c r="A140" s="3" t="s">
        <v>265</v>
      </c>
      <c r="B140" s="3">
        <v>251</v>
      </c>
      <c r="C140" s="3" t="s">
        <v>3</v>
      </c>
      <c r="D140" s="3">
        <v>3</v>
      </c>
      <c r="E140" s="3">
        <v>9074</v>
      </c>
      <c r="F140" s="3">
        <v>12605</v>
      </c>
      <c r="G140" s="3" t="s">
        <v>18</v>
      </c>
      <c r="H140" s="3">
        <f>COUNTIF(Popu_data!C:C, C140)</f>
        <v>75</v>
      </c>
      <c r="I140" s="5">
        <f>H140/253*25</f>
        <v>7.4110671936758896</v>
      </c>
      <c r="J140" s="3">
        <v>0.40643471360979599</v>
      </c>
    </row>
    <row r="141" spans="1:10" x14ac:dyDescent="0.25">
      <c r="A141" s="3" t="s">
        <v>33</v>
      </c>
      <c r="B141" s="3">
        <v>22</v>
      </c>
      <c r="C141" s="3" t="s">
        <v>3</v>
      </c>
      <c r="D141" s="3">
        <v>4</v>
      </c>
      <c r="E141" s="3">
        <v>15450</v>
      </c>
      <c r="F141" s="3">
        <v>9000</v>
      </c>
      <c r="G141" s="3" t="s">
        <v>34</v>
      </c>
      <c r="H141" s="3">
        <f>COUNTIF(Popu_data!C:C, C141)</f>
        <v>75</v>
      </c>
      <c r="I141" s="5">
        <f>H141/253*25</f>
        <v>7.4110671936758896</v>
      </c>
      <c r="J141" s="3">
        <v>0.40926070479706533</v>
      </c>
    </row>
    <row r="142" spans="1:10" x14ac:dyDescent="0.25">
      <c r="A142" s="3" t="s">
        <v>210</v>
      </c>
      <c r="B142" s="3">
        <v>196</v>
      </c>
      <c r="C142" s="3" t="s">
        <v>24</v>
      </c>
      <c r="D142" s="3">
        <v>7</v>
      </c>
      <c r="E142" s="3">
        <v>14583</v>
      </c>
      <c r="F142" s="3">
        <v>16000</v>
      </c>
      <c r="G142" s="3" t="s">
        <v>10</v>
      </c>
      <c r="H142" s="3">
        <f>COUNTIF(Popu_data!C:C, C142)</f>
        <v>43</v>
      </c>
      <c r="I142" s="5">
        <f>H142/253*25</f>
        <v>4.2490118577075098</v>
      </c>
      <c r="J142" s="3">
        <v>0.46379965025743874</v>
      </c>
    </row>
    <row r="143" spans="1:10" x14ac:dyDescent="0.25">
      <c r="A143" s="3" t="s">
        <v>187</v>
      </c>
      <c r="B143" s="3">
        <v>173</v>
      </c>
      <c r="C143" s="3" t="s">
        <v>13</v>
      </c>
      <c r="D143" s="3">
        <v>9</v>
      </c>
      <c r="E143" s="3">
        <v>10900</v>
      </c>
      <c r="F143" s="3">
        <v>12000</v>
      </c>
      <c r="G143" s="3" t="s">
        <v>14</v>
      </c>
      <c r="H143" s="3">
        <f>COUNTIF(Popu_data!C:C, C143)</f>
        <v>35</v>
      </c>
      <c r="I143" s="5">
        <v>4</v>
      </c>
      <c r="J143" s="3">
        <v>0.52489639008783895</v>
      </c>
    </row>
    <row r="144" spans="1:10" x14ac:dyDescent="0.25">
      <c r="A144" s="3" t="s">
        <v>60</v>
      </c>
      <c r="B144" s="3">
        <v>46</v>
      </c>
      <c r="C144" s="3" t="s">
        <v>24</v>
      </c>
      <c r="D144" s="3">
        <v>2</v>
      </c>
      <c r="E144" s="3">
        <v>10452</v>
      </c>
      <c r="F144" s="3">
        <v>6500</v>
      </c>
      <c r="G144" s="3" t="s">
        <v>10</v>
      </c>
      <c r="H144" s="3">
        <f>COUNTIF(Popu_data!C:C, C144)</f>
        <v>43</v>
      </c>
      <c r="I144" s="5">
        <f>H144/253*25</f>
        <v>4.2490118577075098</v>
      </c>
      <c r="J144" s="3">
        <v>0.47409300935154675</v>
      </c>
    </row>
    <row r="145" spans="1:10" x14ac:dyDescent="0.25">
      <c r="A145" s="3" t="s">
        <v>90</v>
      </c>
      <c r="B145" s="3">
        <v>76</v>
      </c>
      <c r="C145" s="3" t="s">
        <v>13</v>
      </c>
      <c r="D145" s="3">
        <v>5</v>
      </c>
      <c r="E145" s="3">
        <v>13875</v>
      </c>
      <c r="F145" s="3">
        <v>9000</v>
      </c>
      <c r="G145" s="3" t="s">
        <v>34</v>
      </c>
      <c r="H145" s="3">
        <f>COUNTIF(Popu_data!C:C, C145)</f>
        <v>35</v>
      </c>
      <c r="I145" s="5">
        <v>4</v>
      </c>
      <c r="J145" s="3">
        <v>0.68979998431723966</v>
      </c>
    </row>
    <row r="146" spans="1:10" x14ac:dyDescent="0.25">
      <c r="A146" s="3" t="s">
        <v>267</v>
      </c>
      <c r="B146" s="3">
        <v>253</v>
      </c>
      <c r="C146" s="3" t="s">
        <v>6</v>
      </c>
      <c r="D146" s="3">
        <v>4</v>
      </c>
      <c r="E146" s="3">
        <v>8633</v>
      </c>
      <c r="F146" s="3">
        <v>8750</v>
      </c>
      <c r="G146" s="3" t="s">
        <v>10</v>
      </c>
      <c r="H146" s="3">
        <f>COUNTIF(Popu_data!C:C, C146)</f>
        <v>100</v>
      </c>
      <c r="I146" s="5">
        <f t="shared" ref="I146:I151" si="7">H146/253*25</f>
        <v>9.8814229249011856</v>
      </c>
      <c r="J146" s="3">
        <v>0.61350718549884931</v>
      </c>
    </row>
    <row r="147" spans="1:10" x14ac:dyDescent="0.25">
      <c r="A147" s="3" t="s">
        <v>254</v>
      </c>
      <c r="B147" s="3">
        <v>240</v>
      </c>
      <c r="C147" s="3" t="s">
        <v>3</v>
      </c>
      <c r="D147" s="3">
        <v>1</v>
      </c>
      <c r="E147" s="3">
        <v>7875</v>
      </c>
      <c r="F147" s="3">
        <v>3000</v>
      </c>
      <c r="G147" s="3" t="s">
        <v>7</v>
      </c>
      <c r="H147" s="3">
        <f>COUNTIF(Popu_data!C:C, C147)</f>
        <v>75</v>
      </c>
      <c r="I147" s="5">
        <f t="shared" si="7"/>
        <v>7.4110671936758896</v>
      </c>
      <c r="J147" s="3">
        <v>0.41082750060372208</v>
      </c>
    </row>
    <row r="148" spans="1:10" x14ac:dyDescent="0.25">
      <c r="A148" s="3" t="s">
        <v>266</v>
      </c>
      <c r="B148" s="3">
        <v>252</v>
      </c>
      <c r="C148" s="3" t="s">
        <v>3</v>
      </c>
      <c r="D148" s="3">
        <v>6</v>
      </c>
      <c r="E148" s="3">
        <v>16242</v>
      </c>
      <c r="F148" s="3">
        <v>12600</v>
      </c>
      <c r="G148" s="3" t="s">
        <v>4</v>
      </c>
      <c r="H148" s="3">
        <f>COUNTIF(Popu_data!C:C, C148)</f>
        <v>75</v>
      </c>
      <c r="I148" s="5">
        <f t="shared" si="7"/>
        <v>7.4110671936758896</v>
      </c>
      <c r="J148" s="3">
        <v>0.43550565896124904</v>
      </c>
    </row>
    <row r="149" spans="1:10" x14ac:dyDescent="0.25">
      <c r="A149" s="3" t="s">
        <v>181</v>
      </c>
      <c r="B149" s="3">
        <v>167</v>
      </c>
      <c r="C149" s="3" t="s">
        <v>6</v>
      </c>
      <c r="D149" s="3">
        <v>5</v>
      </c>
      <c r="E149" s="3">
        <v>13048</v>
      </c>
      <c r="F149" s="3">
        <v>18300</v>
      </c>
      <c r="G149" s="3" t="s">
        <v>7</v>
      </c>
      <c r="H149" s="3">
        <f>COUNTIF(Popu_data!C:C, C149)</f>
        <v>100</v>
      </c>
      <c r="I149" s="5">
        <f t="shared" si="7"/>
        <v>9.8814229249011856</v>
      </c>
      <c r="J149" s="3">
        <v>0.62781670815513546</v>
      </c>
    </row>
    <row r="150" spans="1:10" x14ac:dyDescent="0.25">
      <c r="A150" s="3" t="s">
        <v>99</v>
      </c>
      <c r="B150" s="3">
        <v>85</v>
      </c>
      <c r="C150" s="3" t="s">
        <v>6</v>
      </c>
      <c r="D150" s="3">
        <v>1</v>
      </c>
      <c r="E150" s="3">
        <v>6358</v>
      </c>
      <c r="F150" s="3">
        <v>9000</v>
      </c>
      <c r="G150" s="3" t="s">
        <v>4</v>
      </c>
      <c r="H150" s="3">
        <f>COUNTIF(Popu_data!C:C, C150)</f>
        <v>100</v>
      </c>
      <c r="I150" s="5">
        <f t="shared" si="7"/>
        <v>9.8814229249011856</v>
      </c>
      <c r="J150" s="3">
        <v>0.65040598446079112</v>
      </c>
    </row>
    <row r="151" spans="1:10" x14ac:dyDescent="0.25">
      <c r="A151" s="3" t="s">
        <v>260</v>
      </c>
      <c r="B151" s="3">
        <v>246</v>
      </c>
      <c r="C151" s="3" t="s">
        <v>3</v>
      </c>
      <c r="D151" s="3">
        <v>2</v>
      </c>
      <c r="E151" s="3">
        <v>11885</v>
      </c>
      <c r="F151" s="3">
        <v>12000</v>
      </c>
      <c r="G151" s="3" t="s">
        <v>14</v>
      </c>
      <c r="H151" s="3">
        <f>COUNTIF(Popu_data!C:C, C151)</f>
        <v>75</v>
      </c>
      <c r="I151" s="5">
        <f t="shared" si="7"/>
        <v>7.4110671936758896</v>
      </c>
      <c r="J151" s="3">
        <v>0.44444532718862839</v>
      </c>
    </row>
    <row r="152" spans="1:10" x14ac:dyDescent="0.25">
      <c r="A152" s="3" t="s">
        <v>89</v>
      </c>
      <c r="B152" s="3">
        <v>75</v>
      </c>
      <c r="C152" s="3" t="s">
        <v>13</v>
      </c>
      <c r="D152" s="3">
        <v>4</v>
      </c>
      <c r="E152" s="3">
        <v>10158</v>
      </c>
      <c r="F152" s="3">
        <v>9700</v>
      </c>
      <c r="G152" s="3" t="s">
        <v>4</v>
      </c>
      <c r="H152" s="3">
        <f>COUNTIF(Popu_data!C:C, C152)</f>
        <v>35</v>
      </c>
      <c r="I152" s="5">
        <v>4</v>
      </c>
      <c r="J152" s="3">
        <v>0.75732821943397099</v>
      </c>
    </row>
    <row r="153" spans="1:10" x14ac:dyDescent="0.25">
      <c r="A153" s="3" t="s">
        <v>88</v>
      </c>
      <c r="B153" s="3">
        <v>74</v>
      </c>
      <c r="C153" s="3" t="s">
        <v>6</v>
      </c>
      <c r="D153" s="3">
        <v>1</v>
      </c>
      <c r="E153" s="3">
        <v>4850</v>
      </c>
      <c r="F153" s="3">
        <v>9200</v>
      </c>
      <c r="G153" s="3" t="s">
        <v>34</v>
      </c>
      <c r="H153" s="3">
        <f>COUNTIF(Popu_data!C:C, C153)</f>
        <v>100</v>
      </c>
      <c r="I153" s="5">
        <f t="shared" ref="I153:I159" si="8">H153/253*25</f>
        <v>9.8814229249011856</v>
      </c>
      <c r="J153" s="3">
        <v>0.65241075913965929</v>
      </c>
    </row>
    <row r="154" spans="1:10" x14ac:dyDescent="0.25">
      <c r="A154" s="3" t="s">
        <v>198</v>
      </c>
      <c r="B154" s="3">
        <v>184</v>
      </c>
      <c r="C154" s="3" t="s">
        <v>3</v>
      </c>
      <c r="D154" s="3">
        <v>6</v>
      </c>
      <c r="E154" s="3">
        <v>19833</v>
      </c>
      <c r="F154" s="3">
        <v>14000</v>
      </c>
      <c r="G154" s="3" t="s">
        <v>10</v>
      </c>
      <c r="H154" s="3">
        <f>COUNTIF(Popu_data!C:C, C154)</f>
        <v>75</v>
      </c>
      <c r="I154" s="5">
        <f t="shared" si="8"/>
        <v>7.4110671936758896</v>
      </c>
      <c r="J154" s="3">
        <v>0.46867631587272196</v>
      </c>
    </row>
    <row r="155" spans="1:10" x14ac:dyDescent="0.25">
      <c r="A155" s="3" t="s">
        <v>105</v>
      </c>
      <c r="B155" s="3">
        <v>91</v>
      </c>
      <c r="C155" s="3" t="s">
        <v>3</v>
      </c>
      <c r="D155" s="3">
        <v>2</v>
      </c>
      <c r="E155" s="3">
        <v>6792</v>
      </c>
      <c r="F155" s="3">
        <v>5000</v>
      </c>
      <c r="G155" s="3" t="s">
        <v>14</v>
      </c>
      <c r="H155" s="3">
        <f>COUNTIF(Popu_data!C:C, C155)</f>
        <v>75</v>
      </c>
      <c r="I155" s="5">
        <f t="shared" si="8"/>
        <v>7.4110671936758896</v>
      </c>
      <c r="J155" s="3">
        <v>0.48386862566643429</v>
      </c>
    </row>
    <row r="156" spans="1:10" x14ac:dyDescent="0.25">
      <c r="A156" s="3" t="s">
        <v>96</v>
      </c>
      <c r="B156" s="3">
        <v>82</v>
      </c>
      <c r="C156" s="3" t="s">
        <v>6</v>
      </c>
      <c r="D156" s="3">
        <v>2</v>
      </c>
      <c r="E156" s="3">
        <v>10082</v>
      </c>
      <c r="F156" s="3">
        <v>7900</v>
      </c>
      <c r="G156" s="3" t="s">
        <v>10</v>
      </c>
      <c r="H156" s="3">
        <f>COUNTIF(Popu_data!C:C, C156)</f>
        <v>100</v>
      </c>
      <c r="I156" s="5">
        <f t="shared" si="8"/>
        <v>9.8814229249011856</v>
      </c>
      <c r="J156" s="3">
        <v>0.67220308634194681</v>
      </c>
    </row>
    <row r="157" spans="1:10" x14ac:dyDescent="0.25">
      <c r="A157" s="3" t="s">
        <v>171</v>
      </c>
      <c r="B157" s="3">
        <v>157</v>
      </c>
      <c r="C157" s="3" t="s">
        <v>24</v>
      </c>
      <c r="D157" s="3">
        <v>4</v>
      </c>
      <c r="E157" s="3">
        <v>10000</v>
      </c>
      <c r="F157" s="3">
        <v>10500</v>
      </c>
      <c r="G157" s="3" t="s">
        <v>7</v>
      </c>
      <c r="H157" s="3">
        <f>COUNTIF(Popu_data!C:C, C157)</f>
        <v>43</v>
      </c>
      <c r="I157" s="5">
        <f t="shared" si="8"/>
        <v>4.2490118577075098</v>
      </c>
      <c r="J157" s="3">
        <v>0.50061696072011741</v>
      </c>
    </row>
    <row r="158" spans="1:10" x14ac:dyDescent="0.25">
      <c r="A158" s="3" t="s">
        <v>230</v>
      </c>
      <c r="B158" s="3">
        <v>216</v>
      </c>
      <c r="C158" s="3" t="s">
        <v>24</v>
      </c>
      <c r="D158" s="3">
        <v>2</v>
      </c>
      <c r="E158" s="3">
        <v>10417</v>
      </c>
      <c r="F158" s="3">
        <v>5000</v>
      </c>
      <c r="G158" s="3" t="s">
        <v>7</v>
      </c>
      <c r="H158" s="3">
        <f>COUNTIF(Popu_data!C:C, C158)</f>
        <v>43</v>
      </c>
      <c r="I158" s="5">
        <f t="shared" si="8"/>
        <v>4.2490118577075098</v>
      </c>
      <c r="J158" s="3">
        <v>0.50761736499930421</v>
      </c>
    </row>
    <row r="159" spans="1:10" x14ac:dyDescent="0.25">
      <c r="A159" s="3" t="s">
        <v>9</v>
      </c>
      <c r="B159" s="3">
        <v>4</v>
      </c>
      <c r="C159" s="3" t="s">
        <v>6</v>
      </c>
      <c r="D159" s="3">
        <v>4</v>
      </c>
      <c r="E159" s="3">
        <v>7483</v>
      </c>
      <c r="F159" s="3">
        <v>5000</v>
      </c>
      <c r="G159" s="3" t="s">
        <v>10</v>
      </c>
      <c r="H159" s="3">
        <f>COUNTIF(Popu_data!C:C, C159)</f>
        <v>100</v>
      </c>
      <c r="I159" s="5">
        <f t="shared" si="8"/>
        <v>9.8814229249011856</v>
      </c>
      <c r="J159" s="3">
        <v>0.67290985175652862</v>
      </c>
    </row>
    <row r="160" spans="1:10" x14ac:dyDescent="0.25">
      <c r="A160" s="3" t="s">
        <v>227</v>
      </c>
      <c r="B160" s="3">
        <v>213</v>
      </c>
      <c r="C160" s="3" t="s">
        <v>13</v>
      </c>
      <c r="D160" s="3">
        <v>7</v>
      </c>
      <c r="E160" s="3">
        <v>13142</v>
      </c>
      <c r="F160" s="3">
        <v>8000</v>
      </c>
      <c r="G160" s="3" t="s">
        <v>14</v>
      </c>
      <c r="H160" s="3">
        <f>COUNTIF(Popu_data!C:C, C160)</f>
        <v>35</v>
      </c>
      <c r="I160" s="5">
        <v>4</v>
      </c>
      <c r="J160" s="3">
        <v>0.75844400647238919</v>
      </c>
    </row>
    <row r="161" spans="1:10" x14ac:dyDescent="0.25">
      <c r="A161" s="3" t="s">
        <v>238</v>
      </c>
      <c r="B161" s="3">
        <v>224</v>
      </c>
      <c r="C161" s="3" t="s">
        <v>6</v>
      </c>
      <c r="D161" s="3">
        <v>6</v>
      </c>
      <c r="E161" s="3">
        <v>17667</v>
      </c>
      <c r="F161" s="3">
        <v>12000</v>
      </c>
      <c r="G161" s="3" t="s">
        <v>4</v>
      </c>
      <c r="H161" s="3">
        <f>COUNTIF(Popu_data!C:C, C161)</f>
        <v>100</v>
      </c>
      <c r="I161" s="5">
        <f t="shared" ref="I161:I172" si="9">H161/253*25</f>
        <v>9.8814229249011856</v>
      </c>
      <c r="J161" s="3">
        <v>0.67394235214688025</v>
      </c>
    </row>
    <row r="162" spans="1:10" x14ac:dyDescent="0.25">
      <c r="A162" s="3" t="s">
        <v>182</v>
      </c>
      <c r="B162" s="3">
        <v>168</v>
      </c>
      <c r="C162" s="3" t="s">
        <v>6</v>
      </c>
      <c r="D162" s="3">
        <v>3</v>
      </c>
      <c r="E162" s="3">
        <v>19577</v>
      </c>
      <c r="F162" s="3">
        <v>17550</v>
      </c>
      <c r="G162" s="3" t="s">
        <v>45</v>
      </c>
      <c r="H162" s="3">
        <f>COUNTIF(Popu_data!C:C, C162)</f>
        <v>100</v>
      </c>
      <c r="I162" s="5">
        <f t="shared" si="9"/>
        <v>9.8814229249011856</v>
      </c>
      <c r="J162" s="3">
        <v>0.68233333419623177</v>
      </c>
    </row>
    <row r="163" spans="1:10" x14ac:dyDescent="0.25">
      <c r="A163" s="3" t="s">
        <v>216</v>
      </c>
      <c r="B163" s="3">
        <v>202</v>
      </c>
      <c r="C163" s="3" t="s">
        <v>24</v>
      </c>
      <c r="D163" s="3">
        <v>2</v>
      </c>
      <c r="E163" s="3">
        <v>6317</v>
      </c>
      <c r="F163" s="3">
        <v>7100</v>
      </c>
      <c r="G163" s="3" t="s">
        <v>14</v>
      </c>
      <c r="H163" s="3">
        <f>COUNTIF(Popu_data!C:C, C163)</f>
        <v>43</v>
      </c>
      <c r="I163" s="5">
        <f t="shared" si="9"/>
        <v>4.2490118577075098</v>
      </c>
      <c r="J163" s="3">
        <v>0.51798183310928037</v>
      </c>
    </row>
    <row r="164" spans="1:10" x14ac:dyDescent="0.25">
      <c r="A164" s="3" t="s">
        <v>103</v>
      </c>
      <c r="B164" s="3">
        <v>89</v>
      </c>
      <c r="C164" s="3" t="s">
        <v>3</v>
      </c>
      <c r="D164" s="3">
        <v>5</v>
      </c>
      <c r="E164" s="3">
        <v>11333</v>
      </c>
      <c r="F164" s="3">
        <v>9500</v>
      </c>
      <c r="G164" s="3" t="s">
        <v>14</v>
      </c>
      <c r="H164" s="3">
        <f>COUNTIF(Popu_data!C:C, C164)</f>
        <v>75</v>
      </c>
      <c r="I164" s="5">
        <f t="shared" si="9"/>
        <v>7.4110671936758896</v>
      </c>
      <c r="J164" s="3">
        <v>0.4859261568135631</v>
      </c>
    </row>
    <row r="165" spans="1:10" x14ac:dyDescent="0.25">
      <c r="A165" s="3" t="s">
        <v>70</v>
      </c>
      <c r="B165" s="3">
        <v>56</v>
      </c>
      <c r="C165" s="3" t="s">
        <v>24</v>
      </c>
      <c r="D165" s="3">
        <v>4</v>
      </c>
      <c r="E165" s="3">
        <v>9783</v>
      </c>
      <c r="F165" s="3">
        <v>7000</v>
      </c>
      <c r="G165" s="3" t="s">
        <v>14</v>
      </c>
      <c r="H165" s="3">
        <f>COUNTIF(Popu_data!C:C, C165)</f>
        <v>43</v>
      </c>
      <c r="I165" s="5">
        <f t="shared" si="9"/>
        <v>4.2490118577075098</v>
      </c>
      <c r="J165" s="3">
        <v>0.52089050032860951</v>
      </c>
    </row>
    <row r="166" spans="1:10" x14ac:dyDescent="0.25">
      <c r="A166" s="3" t="s">
        <v>154</v>
      </c>
      <c r="B166" s="3">
        <v>140</v>
      </c>
      <c r="C166" s="3" t="s">
        <v>3</v>
      </c>
      <c r="D166" s="3">
        <v>3</v>
      </c>
      <c r="E166" s="3">
        <v>6600</v>
      </c>
      <c r="F166" s="3">
        <v>6000</v>
      </c>
      <c r="G166" s="3" t="s">
        <v>4</v>
      </c>
      <c r="H166" s="3">
        <f>COUNTIF(Popu_data!C:C, C166)</f>
        <v>75</v>
      </c>
      <c r="I166" s="5">
        <f t="shared" si="9"/>
        <v>7.4110671936758896</v>
      </c>
      <c r="J166" s="3">
        <v>0.5098606448219889</v>
      </c>
    </row>
    <row r="167" spans="1:10" x14ac:dyDescent="0.25">
      <c r="A167" s="3" t="s">
        <v>258</v>
      </c>
      <c r="B167" s="3">
        <v>244</v>
      </c>
      <c r="C167" s="3" t="s">
        <v>6</v>
      </c>
      <c r="D167" s="3">
        <v>4</v>
      </c>
      <c r="E167" s="3">
        <v>14883</v>
      </c>
      <c r="F167" s="3">
        <v>5000</v>
      </c>
      <c r="G167" s="3" t="s">
        <v>4</v>
      </c>
      <c r="H167" s="3">
        <f>COUNTIF(Popu_data!C:C, C167)</f>
        <v>100</v>
      </c>
      <c r="I167" s="5">
        <f t="shared" si="9"/>
        <v>9.8814229249011856</v>
      </c>
      <c r="J167" s="3">
        <v>0.68363864458303747</v>
      </c>
    </row>
    <row r="168" spans="1:10" x14ac:dyDescent="0.25">
      <c r="A168" s="3" t="s">
        <v>203</v>
      </c>
      <c r="B168" s="3">
        <v>189</v>
      </c>
      <c r="C168" s="3" t="s">
        <v>6</v>
      </c>
      <c r="D168" s="3">
        <v>7</v>
      </c>
      <c r="E168" s="3">
        <v>13333</v>
      </c>
      <c r="F168" s="3">
        <v>12000</v>
      </c>
      <c r="G168" s="3" t="s">
        <v>4</v>
      </c>
      <c r="H168" s="3">
        <f>COUNTIF(Popu_data!C:C, C168)</f>
        <v>100</v>
      </c>
      <c r="I168" s="5">
        <f t="shared" si="9"/>
        <v>9.8814229249011856</v>
      </c>
      <c r="J168" s="3">
        <v>0.69270446180941692</v>
      </c>
    </row>
    <row r="169" spans="1:10" x14ac:dyDescent="0.25">
      <c r="A169" s="3" t="s">
        <v>28</v>
      </c>
      <c r="B169" s="3">
        <v>17</v>
      </c>
      <c r="C169" s="3" t="s">
        <v>6</v>
      </c>
      <c r="D169" s="3">
        <v>8</v>
      </c>
      <c r="E169" s="3">
        <v>15500</v>
      </c>
      <c r="F169" s="3">
        <v>18000</v>
      </c>
      <c r="G169" s="3" t="s">
        <v>4</v>
      </c>
      <c r="H169" s="3">
        <f>COUNTIF(Popu_data!C:C, C169)</f>
        <v>100</v>
      </c>
      <c r="I169" s="5">
        <f t="shared" si="9"/>
        <v>9.8814229249011856</v>
      </c>
      <c r="J169" s="3">
        <v>0.70008995940707697</v>
      </c>
    </row>
    <row r="170" spans="1:10" x14ac:dyDescent="0.25">
      <c r="A170" s="3" t="s">
        <v>86</v>
      </c>
      <c r="B170" s="3">
        <v>72</v>
      </c>
      <c r="C170" s="3" t="s">
        <v>3</v>
      </c>
      <c r="D170" s="3">
        <v>2</v>
      </c>
      <c r="E170" s="3">
        <v>17237</v>
      </c>
      <c r="F170" s="3">
        <v>7540</v>
      </c>
      <c r="G170" s="3" t="s">
        <v>45</v>
      </c>
      <c r="H170" s="3">
        <f>COUNTIF(Popu_data!C:C, C170)</f>
        <v>75</v>
      </c>
      <c r="I170" s="5">
        <f t="shared" si="9"/>
        <v>7.4110671936758896</v>
      </c>
      <c r="J170" s="3">
        <v>0.51019998026475633</v>
      </c>
    </row>
    <row r="171" spans="1:10" x14ac:dyDescent="0.25">
      <c r="A171" s="3" t="s">
        <v>239</v>
      </c>
      <c r="B171" s="3">
        <v>225</v>
      </c>
      <c r="C171" s="3" t="s">
        <v>3</v>
      </c>
      <c r="D171" s="3">
        <v>6</v>
      </c>
      <c r="E171" s="3">
        <v>17787</v>
      </c>
      <c r="F171" s="3">
        <v>14000</v>
      </c>
      <c r="G171" s="3" t="s">
        <v>4</v>
      </c>
      <c r="H171" s="3">
        <f>COUNTIF(Popu_data!C:C, C171)</f>
        <v>75</v>
      </c>
      <c r="I171" s="5">
        <f t="shared" si="9"/>
        <v>7.4110671936758896</v>
      </c>
      <c r="J171" s="3">
        <v>0.51648481528127754</v>
      </c>
    </row>
    <row r="172" spans="1:10" x14ac:dyDescent="0.25">
      <c r="A172" s="3" t="s">
        <v>30</v>
      </c>
      <c r="B172" s="3">
        <v>19</v>
      </c>
      <c r="C172" s="3" t="s">
        <v>6</v>
      </c>
      <c r="D172" s="3">
        <v>4</v>
      </c>
      <c r="E172" s="3">
        <v>9800</v>
      </c>
      <c r="F172" s="3">
        <v>10000</v>
      </c>
      <c r="G172" s="3" t="s">
        <v>4</v>
      </c>
      <c r="H172" s="3">
        <f>COUNTIF(Popu_data!C:C, C172)</f>
        <v>100</v>
      </c>
      <c r="I172" s="5">
        <f t="shared" si="9"/>
        <v>9.8814229249011856</v>
      </c>
      <c r="J172" s="3">
        <v>0.73013904249525108</v>
      </c>
    </row>
    <row r="173" spans="1:10" x14ac:dyDescent="0.25">
      <c r="A173" s="3" t="s">
        <v>156</v>
      </c>
      <c r="B173" s="3">
        <v>142</v>
      </c>
      <c r="C173" s="3" t="s">
        <v>13</v>
      </c>
      <c r="D173" s="3">
        <v>2</v>
      </c>
      <c r="E173" s="3">
        <v>4440</v>
      </c>
      <c r="F173" s="3">
        <v>4200</v>
      </c>
      <c r="G173" s="3" t="s">
        <v>10</v>
      </c>
      <c r="H173" s="3">
        <f>COUNTIF(Popu_data!C:C, C173)</f>
        <v>35</v>
      </c>
      <c r="I173" s="5">
        <v>4</v>
      </c>
      <c r="J173" s="3">
        <v>0.76069294170361701</v>
      </c>
    </row>
    <row r="174" spans="1:10" x14ac:dyDescent="0.25">
      <c r="A174" s="3" t="s">
        <v>261</v>
      </c>
      <c r="B174" s="3">
        <v>247</v>
      </c>
      <c r="C174" s="3" t="s">
        <v>13</v>
      </c>
      <c r="D174" s="3">
        <v>5</v>
      </c>
      <c r="E174" s="3">
        <v>6767</v>
      </c>
      <c r="F174" s="3">
        <v>8000</v>
      </c>
      <c r="G174" s="3" t="s">
        <v>7</v>
      </c>
      <c r="H174" s="3">
        <f>COUNTIF(Popu_data!C:C, C174)</f>
        <v>35</v>
      </c>
      <c r="I174" s="5">
        <v>4</v>
      </c>
      <c r="J174" s="3">
        <v>0.76438434416521717</v>
      </c>
    </row>
    <row r="175" spans="1:10" x14ac:dyDescent="0.25">
      <c r="A175" s="3" t="s">
        <v>215</v>
      </c>
      <c r="B175" s="3">
        <v>201</v>
      </c>
      <c r="C175" s="3" t="s">
        <v>3</v>
      </c>
      <c r="D175" s="3">
        <v>1</v>
      </c>
      <c r="E175" s="3">
        <v>15667</v>
      </c>
      <c r="F175" s="3">
        <v>5500</v>
      </c>
      <c r="G175" s="3" t="s">
        <v>10</v>
      </c>
      <c r="H175" s="3">
        <f>COUNTIF(Popu_data!C:C, C175)</f>
        <v>75</v>
      </c>
      <c r="I175" s="5">
        <f>H175/253*25</f>
        <v>7.4110671936758896</v>
      </c>
      <c r="J175" s="3">
        <v>0.51911207402162363</v>
      </c>
    </row>
    <row r="176" spans="1:10" x14ac:dyDescent="0.25">
      <c r="A176" s="3" t="s">
        <v>114</v>
      </c>
      <c r="B176" s="3">
        <v>100</v>
      </c>
      <c r="C176" s="3" t="s">
        <v>3</v>
      </c>
      <c r="D176" s="3">
        <v>4</v>
      </c>
      <c r="E176" s="3">
        <v>12992</v>
      </c>
      <c r="F176" s="3">
        <v>10500</v>
      </c>
      <c r="G176" s="3" t="s">
        <v>4</v>
      </c>
      <c r="H176" s="3">
        <f>COUNTIF(Popu_data!C:C, C176)</f>
        <v>75</v>
      </c>
      <c r="I176" s="5">
        <f>H176/253*25</f>
        <v>7.4110671936758896</v>
      </c>
      <c r="J176" s="3">
        <v>0.55290103397605594</v>
      </c>
    </row>
    <row r="177" spans="1:10" x14ac:dyDescent="0.25">
      <c r="A177" s="3" t="s">
        <v>110</v>
      </c>
      <c r="B177" s="3">
        <v>96</v>
      </c>
      <c r="C177" s="3" t="s">
        <v>3</v>
      </c>
      <c r="D177" s="3">
        <v>4</v>
      </c>
      <c r="E177" s="3">
        <v>7817</v>
      </c>
      <c r="F177" s="3">
        <v>5600</v>
      </c>
      <c r="G177" s="3" t="s">
        <v>45</v>
      </c>
      <c r="H177" s="3">
        <f>COUNTIF(Popu_data!C:C, C177)</f>
        <v>75</v>
      </c>
      <c r="I177" s="5">
        <f>H177/253*25</f>
        <v>7.4110671936758896</v>
      </c>
      <c r="J177" s="3">
        <v>0.55872812357394175</v>
      </c>
    </row>
    <row r="178" spans="1:10" x14ac:dyDescent="0.25">
      <c r="A178" s="3" t="s">
        <v>179</v>
      </c>
      <c r="B178" s="3">
        <v>165</v>
      </c>
      <c r="C178" s="3" t="s">
        <v>3</v>
      </c>
      <c r="D178" s="3">
        <v>6</v>
      </c>
      <c r="E178" s="3">
        <v>12892</v>
      </c>
      <c r="F178" s="3">
        <v>34600</v>
      </c>
      <c r="G178" s="3" t="s">
        <v>10</v>
      </c>
      <c r="H178" s="3">
        <f>COUNTIF(Popu_data!C:C, C178)</f>
        <v>75</v>
      </c>
      <c r="I178" s="5">
        <f>H178/253*25</f>
        <v>7.4110671936758896</v>
      </c>
      <c r="J178" s="3">
        <v>0.5786973166065924</v>
      </c>
    </row>
    <row r="179" spans="1:10" x14ac:dyDescent="0.25">
      <c r="A179" s="3" t="s">
        <v>117</v>
      </c>
      <c r="B179" s="3">
        <v>103</v>
      </c>
      <c r="C179" s="3" t="s">
        <v>13</v>
      </c>
      <c r="D179" s="3">
        <v>4</v>
      </c>
      <c r="E179" s="3">
        <v>9133</v>
      </c>
      <c r="F179" s="3">
        <v>3500</v>
      </c>
      <c r="G179" s="3" t="s">
        <v>14</v>
      </c>
      <c r="H179" s="3">
        <f>COUNTIF(Popu_data!C:C, C179)</f>
        <v>35</v>
      </c>
      <c r="I179" s="5">
        <v>4</v>
      </c>
      <c r="J179" s="3">
        <v>0.76643414702484958</v>
      </c>
    </row>
    <row r="180" spans="1:10" x14ac:dyDescent="0.25">
      <c r="A180" s="3" t="s">
        <v>73</v>
      </c>
      <c r="B180" s="3">
        <v>59</v>
      </c>
      <c r="C180" s="3" t="s">
        <v>6</v>
      </c>
      <c r="D180" s="3">
        <v>5</v>
      </c>
      <c r="E180" s="3">
        <v>12467</v>
      </c>
      <c r="F180" s="3">
        <v>7000</v>
      </c>
      <c r="G180" s="3" t="s">
        <v>14</v>
      </c>
      <c r="H180" s="3">
        <f>COUNTIF(Popu_data!C:C, C180)</f>
        <v>100</v>
      </c>
      <c r="I180" s="5">
        <f t="shared" ref="I180:I197" si="10">H180/253*25</f>
        <v>9.8814229249011856</v>
      </c>
      <c r="J180" s="3">
        <v>0.74022983782219987</v>
      </c>
    </row>
    <row r="181" spans="1:10" x14ac:dyDescent="0.25">
      <c r="A181" s="3" t="s">
        <v>259</v>
      </c>
      <c r="B181" s="3">
        <v>245</v>
      </c>
      <c r="C181" s="3" t="s">
        <v>3</v>
      </c>
      <c r="D181" s="3">
        <v>9</v>
      </c>
      <c r="E181" s="3">
        <v>21283</v>
      </c>
      <c r="F181" s="3">
        <v>18500</v>
      </c>
      <c r="G181" s="3" t="s">
        <v>14</v>
      </c>
      <c r="H181" s="3">
        <f>COUNTIF(Popu_data!C:C, C181)</f>
        <v>75</v>
      </c>
      <c r="I181" s="5">
        <f t="shared" si="10"/>
        <v>7.4110671936758896</v>
      </c>
      <c r="J181" s="3">
        <v>0.58101639733036414</v>
      </c>
    </row>
    <row r="182" spans="1:10" x14ac:dyDescent="0.25">
      <c r="A182" s="3" t="s">
        <v>75</v>
      </c>
      <c r="B182" s="3">
        <v>61</v>
      </c>
      <c r="C182" s="3" t="s">
        <v>3</v>
      </c>
      <c r="D182" s="3">
        <v>7</v>
      </c>
      <c r="E182" s="3">
        <v>13850</v>
      </c>
      <c r="F182" s="3">
        <v>20000</v>
      </c>
      <c r="G182" s="3" t="s">
        <v>14</v>
      </c>
      <c r="H182" s="3">
        <f>COUNTIF(Popu_data!C:C, C182)</f>
        <v>75</v>
      </c>
      <c r="I182" s="5">
        <f t="shared" si="10"/>
        <v>7.4110671936758896</v>
      </c>
      <c r="J182" s="3">
        <v>0.58511610608082609</v>
      </c>
    </row>
    <row r="183" spans="1:10" x14ac:dyDescent="0.25">
      <c r="A183" s="3" t="s">
        <v>160</v>
      </c>
      <c r="B183" s="3">
        <v>146</v>
      </c>
      <c r="C183" s="3" t="s">
        <v>3</v>
      </c>
      <c r="D183" s="3">
        <v>3</v>
      </c>
      <c r="E183" s="3">
        <v>8953</v>
      </c>
      <c r="F183" s="3">
        <v>4600</v>
      </c>
      <c r="G183" s="3" t="s">
        <v>14</v>
      </c>
      <c r="H183" s="3">
        <f>COUNTIF(Popu_data!C:C, C183)</f>
        <v>75</v>
      </c>
      <c r="I183" s="5">
        <f t="shared" si="10"/>
        <v>7.4110671936758896</v>
      </c>
      <c r="J183" s="3">
        <v>0.63266483313780586</v>
      </c>
    </row>
    <row r="184" spans="1:10" x14ac:dyDescent="0.25">
      <c r="A184" s="3" t="s">
        <v>221</v>
      </c>
      <c r="B184" s="3">
        <v>207</v>
      </c>
      <c r="C184" s="3" t="s">
        <v>24</v>
      </c>
      <c r="D184" s="3">
        <v>6</v>
      </c>
      <c r="E184" s="3">
        <v>10050</v>
      </c>
      <c r="F184" s="3">
        <v>6500</v>
      </c>
      <c r="G184" s="3" t="s">
        <v>45</v>
      </c>
      <c r="H184" s="3">
        <f>COUNTIF(Popu_data!C:C, C184)</f>
        <v>43</v>
      </c>
      <c r="I184" s="5">
        <f t="shared" si="10"/>
        <v>4.2490118577075098</v>
      </c>
      <c r="J184" s="3">
        <v>0.57022877673034211</v>
      </c>
    </row>
    <row r="185" spans="1:10" x14ac:dyDescent="0.25">
      <c r="A185" s="3" t="s">
        <v>177</v>
      </c>
      <c r="B185" s="3">
        <v>163</v>
      </c>
      <c r="C185" s="3" t="s">
        <v>3</v>
      </c>
      <c r="D185" s="3">
        <v>4</v>
      </c>
      <c r="E185" s="3">
        <v>11299</v>
      </c>
      <c r="F185" s="3">
        <v>13000</v>
      </c>
      <c r="G185" s="3" t="s">
        <v>10</v>
      </c>
      <c r="H185" s="3">
        <f>COUNTIF(Popu_data!C:C, C185)</f>
        <v>75</v>
      </c>
      <c r="I185" s="5">
        <f t="shared" si="10"/>
        <v>7.4110671936758896</v>
      </c>
      <c r="J185" s="3">
        <v>0.6340734899394177</v>
      </c>
    </row>
    <row r="186" spans="1:10" x14ac:dyDescent="0.25">
      <c r="A186" s="3" t="s">
        <v>153</v>
      </c>
      <c r="B186" s="3">
        <v>139</v>
      </c>
      <c r="C186" s="3" t="s">
        <v>3</v>
      </c>
      <c r="D186" s="3">
        <v>4</v>
      </c>
      <c r="E186" s="3">
        <v>20833</v>
      </c>
      <c r="F186" s="3">
        <v>10000</v>
      </c>
      <c r="G186" s="3" t="s">
        <v>45</v>
      </c>
      <c r="H186" s="3">
        <f>COUNTIF(Popu_data!C:C, C186)</f>
        <v>75</v>
      </c>
      <c r="I186" s="5">
        <f t="shared" si="10"/>
        <v>7.4110671936758896</v>
      </c>
      <c r="J186" s="3">
        <v>0.64039203763914376</v>
      </c>
    </row>
    <row r="187" spans="1:10" x14ac:dyDescent="0.25">
      <c r="A187" s="3" t="s">
        <v>72</v>
      </c>
      <c r="B187" s="3">
        <v>58</v>
      </c>
      <c r="C187" s="3" t="s">
        <v>3</v>
      </c>
      <c r="D187" s="3">
        <v>4</v>
      </c>
      <c r="E187" s="3">
        <v>13425</v>
      </c>
      <c r="F187" s="3">
        <v>18600</v>
      </c>
      <c r="G187" s="3" t="s">
        <v>45</v>
      </c>
      <c r="H187" s="3">
        <f>COUNTIF(Popu_data!C:C, C187)</f>
        <v>75</v>
      </c>
      <c r="I187" s="5">
        <f t="shared" si="10"/>
        <v>7.4110671936758896</v>
      </c>
      <c r="J187" s="3">
        <v>0.64281942538638293</v>
      </c>
    </row>
    <row r="188" spans="1:10" x14ac:dyDescent="0.25">
      <c r="A188" s="3" t="s">
        <v>149</v>
      </c>
      <c r="B188" s="3">
        <v>135</v>
      </c>
      <c r="C188" s="3" t="s">
        <v>3</v>
      </c>
      <c r="D188" s="3">
        <v>4</v>
      </c>
      <c r="E188" s="3">
        <v>10633</v>
      </c>
      <c r="F188" s="3">
        <v>12000</v>
      </c>
      <c r="G188" s="3" t="s">
        <v>10</v>
      </c>
      <c r="H188" s="3">
        <f>COUNTIF(Popu_data!C:C, C188)</f>
        <v>75</v>
      </c>
      <c r="I188" s="5">
        <f t="shared" si="10"/>
        <v>7.4110671936758896</v>
      </c>
      <c r="J188" s="3">
        <v>0.6564691740601768</v>
      </c>
    </row>
    <row r="189" spans="1:10" x14ac:dyDescent="0.25">
      <c r="A189" s="3" t="s">
        <v>62</v>
      </c>
      <c r="B189" s="3">
        <v>48</v>
      </c>
      <c r="C189" s="3" t="s">
        <v>24</v>
      </c>
      <c r="D189" s="3">
        <v>5</v>
      </c>
      <c r="E189" s="3">
        <v>11602</v>
      </c>
      <c r="F189" s="3">
        <v>7000</v>
      </c>
      <c r="G189" s="3" t="s">
        <v>14</v>
      </c>
      <c r="H189" s="3">
        <f>COUNTIF(Popu_data!C:C, C189)</f>
        <v>43</v>
      </c>
      <c r="I189" s="5">
        <f t="shared" si="10"/>
        <v>4.2490118577075098</v>
      </c>
      <c r="J189" s="3">
        <v>0.57976397980893457</v>
      </c>
    </row>
    <row r="190" spans="1:10" x14ac:dyDescent="0.25">
      <c r="A190" s="3" t="s">
        <v>120</v>
      </c>
      <c r="B190" s="3">
        <v>106</v>
      </c>
      <c r="C190" s="3" t="s">
        <v>6</v>
      </c>
      <c r="D190" s="3">
        <v>4</v>
      </c>
      <c r="E190" s="3">
        <v>18392</v>
      </c>
      <c r="F190" s="3">
        <v>6500</v>
      </c>
      <c r="G190" s="3" t="s">
        <v>10</v>
      </c>
      <c r="H190" s="3">
        <f>COUNTIF(Popu_data!C:C, C190)</f>
        <v>100</v>
      </c>
      <c r="I190" s="5">
        <f t="shared" si="10"/>
        <v>9.8814229249011856</v>
      </c>
      <c r="J190" s="3">
        <v>0.74946043920095373</v>
      </c>
    </row>
    <row r="191" spans="1:10" x14ac:dyDescent="0.25">
      <c r="A191" s="3" t="s">
        <v>55</v>
      </c>
      <c r="B191" s="3">
        <v>41</v>
      </c>
      <c r="C191" s="3" t="s">
        <v>6</v>
      </c>
      <c r="D191" s="3">
        <v>5</v>
      </c>
      <c r="E191" s="3">
        <v>19333</v>
      </c>
      <c r="F191" s="3">
        <v>6000</v>
      </c>
      <c r="G191" s="3" t="s">
        <v>14</v>
      </c>
      <c r="H191" s="3">
        <f>COUNTIF(Popu_data!C:C, C191)</f>
        <v>100</v>
      </c>
      <c r="I191" s="5">
        <f t="shared" si="10"/>
        <v>9.8814229249011856</v>
      </c>
      <c r="J191" s="3">
        <v>0.75172728662593236</v>
      </c>
    </row>
    <row r="192" spans="1:10" x14ac:dyDescent="0.25">
      <c r="A192" s="3" t="s">
        <v>208</v>
      </c>
      <c r="B192" s="3">
        <v>194</v>
      </c>
      <c r="C192" s="3" t="s">
        <v>3</v>
      </c>
      <c r="D192" s="3">
        <v>6</v>
      </c>
      <c r="E192" s="3">
        <v>10567</v>
      </c>
      <c r="F192" s="3">
        <v>5000</v>
      </c>
      <c r="G192" s="3" t="s">
        <v>14</v>
      </c>
      <c r="H192" s="3">
        <f>COUNTIF(Popu_data!C:C, C192)</f>
        <v>75</v>
      </c>
      <c r="I192" s="5">
        <f t="shared" si="10"/>
        <v>7.4110671936758896</v>
      </c>
      <c r="J192" s="3">
        <v>0.66044691710500913</v>
      </c>
    </row>
    <row r="193" spans="1:10" x14ac:dyDescent="0.25">
      <c r="A193" s="3" t="s">
        <v>176</v>
      </c>
      <c r="B193" s="3">
        <v>162</v>
      </c>
      <c r="C193" s="3" t="s">
        <v>24</v>
      </c>
      <c r="D193" s="3">
        <v>5</v>
      </c>
      <c r="E193" s="3">
        <v>9325</v>
      </c>
      <c r="F193" s="3">
        <v>8000</v>
      </c>
      <c r="G193" s="3" t="s">
        <v>14</v>
      </c>
      <c r="H193" s="3">
        <f>COUNTIF(Popu_data!C:C, C193)</f>
        <v>43</v>
      </c>
      <c r="I193" s="5">
        <f t="shared" si="10"/>
        <v>4.2490118577075098</v>
      </c>
      <c r="J193" s="3">
        <v>0.60459625840886166</v>
      </c>
    </row>
    <row r="194" spans="1:10" x14ac:dyDescent="0.25">
      <c r="A194" s="3" t="s">
        <v>139</v>
      </c>
      <c r="B194" s="3">
        <v>125</v>
      </c>
      <c r="C194" s="3" t="s">
        <v>6</v>
      </c>
      <c r="D194" s="3">
        <v>4</v>
      </c>
      <c r="E194" s="3">
        <v>32917</v>
      </c>
      <c r="F194" s="3">
        <v>10000</v>
      </c>
      <c r="G194" s="3" t="s">
        <v>4</v>
      </c>
      <c r="H194" s="3">
        <f>COUNTIF(Popu_data!C:C, C194)</f>
        <v>100</v>
      </c>
      <c r="I194" s="5">
        <f t="shared" si="10"/>
        <v>9.8814229249011856</v>
      </c>
      <c r="J194" s="3">
        <v>0.75885435540943103</v>
      </c>
    </row>
    <row r="195" spans="1:10" x14ac:dyDescent="0.25">
      <c r="A195" s="3" t="s">
        <v>64</v>
      </c>
      <c r="B195" s="3">
        <v>50</v>
      </c>
      <c r="C195" s="3" t="s">
        <v>3</v>
      </c>
      <c r="D195" s="3">
        <v>2</v>
      </c>
      <c r="E195" s="3">
        <v>12000</v>
      </c>
      <c r="F195" s="3">
        <v>10000</v>
      </c>
      <c r="G195" s="3" t="s">
        <v>4</v>
      </c>
      <c r="H195" s="3">
        <f>COUNTIF(Popu_data!C:C, C195)</f>
        <v>75</v>
      </c>
      <c r="I195" s="5">
        <f t="shared" si="10"/>
        <v>7.4110671936758896</v>
      </c>
      <c r="J195" s="3">
        <v>0.67526108394299134</v>
      </c>
    </row>
    <row r="196" spans="1:10" x14ac:dyDescent="0.25">
      <c r="A196" s="3" t="s">
        <v>79</v>
      </c>
      <c r="B196" s="3">
        <v>65</v>
      </c>
      <c r="C196" s="3" t="s">
        <v>24</v>
      </c>
      <c r="D196" s="3">
        <v>4</v>
      </c>
      <c r="E196" s="3">
        <v>9523</v>
      </c>
      <c r="F196" s="3">
        <v>3870</v>
      </c>
      <c r="G196" s="3" t="s">
        <v>14</v>
      </c>
      <c r="H196" s="3">
        <f>COUNTIF(Popu_data!C:C, C196)</f>
        <v>43</v>
      </c>
      <c r="I196" s="5">
        <f t="shared" si="10"/>
        <v>4.2490118577075098</v>
      </c>
      <c r="J196" s="3">
        <v>0.6108265764412254</v>
      </c>
    </row>
    <row r="197" spans="1:10" x14ac:dyDescent="0.25">
      <c r="A197" s="3" t="s">
        <v>241</v>
      </c>
      <c r="B197" s="3">
        <v>227</v>
      </c>
      <c r="C197" s="3" t="s">
        <v>24</v>
      </c>
      <c r="D197" s="3">
        <v>3</v>
      </c>
      <c r="E197" s="3">
        <v>7892</v>
      </c>
      <c r="F197" s="3">
        <v>6000</v>
      </c>
      <c r="G197" s="3" t="s">
        <v>10</v>
      </c>
      <c r="H197" s="3">
        <f>COUNTIF(Popu_data!C:C, C197)</f>
        <v>43</v>
      </c>
      <c r="I197" s="5">
        <f t="shared" si="10"/>
        <v>4.2490118577075098</v>
      </c>
      <c r="J197" s="3">
        <v>0.61301607349559262</v>
      </c>
    </row>
    <row r="198" spans="1:10" x14ac:dyDescent="0.25">
      <c r="A198" s="3" t="s">
        <v>240</v>
      </c>
      <c r="B198" s="3">
        <v>226</v>
      </c>
      <c r="C198" s="3" t="s">
        <v>13</v>
      </c>
      <c r="D198" s="3">
        <v>3</v>
      </c>
      <c r="E198" s="3">
        <v>11102</v>
      </c>
      <c r="F198" s="3">
        <v>7500</v>
      </c>
      <c r="G198" s="3" t="s">
        <v>10</v>
      </c>
      <c r="H198" s="3">
        <f>COUNTIF(Popu_data!C:C, C198)</f>
        <v>35</v>
      </c>
      <c r="I198" s="5">
        <v>4</v>
      </c>
      <c r="J198" s="3">
        <v>0.77791627540885466</v>
      </c>
    </row>
    <row r="199" spans="1:10" x14ac:dyDescent="0.25">
      <c r="A199" s="3" t="s">
        <v>51</v>
      </c>
      <c r="B199" s="3">
        <v>37</v>
      </c>
      <c r="C199" s="3" t="s">
        <v>24</v>
      </c>
      <c r="D199" s="3">
        <v>4</v>
      </c>
      <c r="E199" s="3">
        <v>6833</v>
      </c>
      <c r="F199" s="3">
        <v>4000</v>
      </c>
      <c r="G199" s="3" t="s">
        <v>10</v>
      </c>
      <c r="H199" s="3">
        <f>COUNTIF(Popu_data!C:C, C199)</f>
        <v>43</v>
      </c>
      <c r="I199" s="5">
        <f t="shared" ref="I199:I213" si="11">H199/253*25</f>
        <v>4.2490118577075098</v>
      </c>
      <c r="J199" s="3">
        <v>0.62695339402312467</v>
      </c>
    </row>
    <row r="200" spans="1:10" x14ac:dyDescent="0.25">
      <c r="A200" s="3" t="s">
        <v>137</v>
      </c>
      <c r="B200" s="3">
        <v>123</v>
      </c>
      <c r="C200" s="3" t="s">
        <v>3</v>
      </c>
      <c r="D200" s="3">
        <v>3</v>
      </c>
      <c r="E200" s="3">
        <v>12050</v>
      </c>
      <c r="F200" s="3">
        <v>4000</v>
      </c>
      <c r="G200" s="3" t="s">
        <v>42</v>
      </c>
      <c r="H200" s="3">
        <f>COUNTIF(Popu_data!C:C, C200)</f>
        <v>75</v>
      </c>
      <c r="I200" s="5">
        <f t="shared" si="11"/>
        <v>7.4110671936758896</v>
      </c>
      <c r="J200" s="3">
        <v>0.68339043632742813</v>
      </c>
    </row>
    <row r="201" spans="1:10" x14ac:dyDescent="0.25">
      <c r="A201" s="3" t="s">
        <v>107</v>
      </c>
      <c r="B201" s="3">
        <v>93</v>
      </c>
      <c r="C201" s="3" t="s">
        <v>3</v>
      </c>
      <c r="D201" s="3">
        <v>4</v>
      </c>
      <c r="E201" s="3">
        <v>12017</v>
      </c>
      <c r="F201" s="3">
        <v>3500</v>
      </c>
      <c r="G201" s="3" t="s">
        <v>4</v>
      </c>
      <c r="H201" s="3">
        <f>COUNTIF(Popu_data!C:C, C201)</f>
        <v>75</v>
      </c>
      <c r="I201" s="5">
        <f t="shared" si="11"/>
        <v>7.4110671936758896</v>
      </c>
      <c r="J201" s="3">
        <v>0.69987819222953318</v>
      </c>
    </row>
    <row r="202" spans="1:10" x14ac:dyDescent="0.25">
      <c r="A202" s="3" t="s">
        <v>15</v>
      </c>
      <c r="B202" s="3">
        <v>7</v>
      </c>
      <c r="C202" s="3" t="s">
        <v>3</v>
      </c>
      <c r="D202" s="3">
        <v>5</v>
      </c>
      <c r="E202" s="3">
        <v>11550</v>
      </c>
      <c r="F202" s="3">
        <v>15000</v>
      </c>
      <c r="G202" s="3" t="s">
        <v>10</v>
      </c>
      <c r="H202" s="3">
        <f>COUNTIF(Popu_data!C:C, C202)</f>
        <v>75</v>
      </c>
      <c r="I202" s="5">
        <f t="shared" si="11"/>
        <v>7.4110671936758896</v>
      </c>
      <c r="J202" s="3">
        <v>0.70855652637230748</v>
      </c>
    </row>
    <row r="203" spans="1:10" x14ac:dyDescent="0.25">
      <c r="A203" s="3" t="s">
        <v>209</v>
      </c>
      <c r="B203" s="3">
        <v>195</v>
      </c>
      <c r="C203" s="3" t="s">
        <v>24</v>
      </c>
      <c r="D203" s="3">
        <v>4</v>
      </c>
      <c r="E203" s="3">
        <v>16713</v>
      </c>
      <c r="F203" s="3">
        <v>7000</v>
      </c>
      <c r="G203" s="3" t="s">
        <v>45</v>
      </c>
      <c r="H203" s="3">
        <f>COUNTIF(Popu_data!C:C, C203)</f>
        <v>43</v>
      </c>
      <c r="I203" s="5">
        <f t="shared" si="11"/>
        <v>4.2490118577075098</v>
      </c>
      <c r="J203" s="3">
        <v>0.63274598936592275</v>
      </c>
    </row>
    <row r="204" spans="1:10" x14ac:dyDescent="0.25">
      <c r="A204" s="3" t="s">
        <v>231</v>
      </c>
      <c r="B204" s="3">
        <v>217</v>
      </c>
      <c r="C204" s="3" t="s">
        <v>6</v>
      </c>
      <c r="D204" s="3">
        <v>4</v>
      </c>
      <c r="E204" s="3">
        <v>9050</v>
      </c>
      <c r="F204" s="3">
        <v>7000</v>
      </c>
      <c r="G204" s="3" t="s">
        <v>14</v>
      </c>
      <c r="H204" s="3">
        <f>COUNTIF(Popu_data!C:C, C204)</f>
        <v>100</v>
      </c>
      <c r="I204" s="5">
        <f t="shared" si="11"/>
        <v>9.8814229249011856</v>
      </c>
      <c r="J204" s="3">
        <v>0.75924610461019926</v>
      </c>
    </row>
    <row r="205" spans="1:10" x14ac:dyDescent="0.25">
      <c r="A205" s="3" t="s">
        <v>206</v>
      </c>
      <c r="B205" s="3">
        <v>192</v>
      </c>
      <c r="C205" s="3" t="s">
        <v>24</v>
      </c>
      <c r="D205" s="3">
        <v>2</v>
      </c>
      <c r="E205" s="3">
        <v>4883</v>
      </c>
      <c r="F205" s="3">
        <v>5000</v>
      </c>
      <c r="G205" s="3" t="s">
        <v>10</v>
      </c>
      <c r="H205" s="3">
        <f>COUNTIF(Popu_data!C:C, C205)</f>
        <v>43</v>
      </c>
      <c r="I205" s="5">
        <f t="shared" si="11"/>
        <v>4.2490118577075098</v>
      </c>
      <c r="J205" s="3">
        <v>0.63774706866777675</v>
      </c>
    </row>
    <row r="206" spans="1:10" x14ac:dyDescent="0.25">
      <c r="A206" s="3" t="s">
        <v>169</v>
      </c>
      <c r="B206" s="3">
        <v>155</v>
      </c>
      <c r="C206" s="3" t="s">
        <v>6</v>
      </c>
      <c r="D206" s="3">
        <v>3</v>
      </c>
      <c r="E206" s="3">
        <v>35417</v>
      </c>
      <c r="F206" s="3">
        <v>25000</v>
      </c>
      <c r="G206" s="3" t="s">
        <v>45</v>
      </c>
      <c r="H206" s="3">
        <f>COUNTIF(Popu_data!C:C, C206)</f>
        <v>100</v>
      </c>
      <c r="I206" s="5">
        <f t="shared" si="11"/>
        <v>9.8814229249011856</v>
      </c>
      <c r="J206" s="3">
        <v>0.75999398168206411</v>
      </c>
    </row>
    <row r="207" spans="1:10" x14ac:dyDescent="0.25">
      <c r="A207" s="3" t="s">
        <v>252</v>
      </c>
      <c r="B207" s="3">
        <v>238</v>
      </c>
      <c r="C207" s="3" t="s">
        <v>6</v>
      </c>
      <c r="D207" s="3">
        <v>4</v>
      </c>
      <c r="E207" s="3">
        <v>12792</v>
      </c>
      <c r="F207" s="3">
        <v>6000</v>
      </c>
      <c r="G207" s="3" t="s">
        <v>14</v>
      </c>
      <c r="H207" s="3">
        <f>COUNTIF(Popu_data!C:C, C207)</f>
        <v>100</v>
      </c>
      <c r="I207" s="5">
        <f t="shared" si="11"/>
        <v>9.8814229249011856</v>
      </c>
      <c r="J207" s="3">
        <v>0.80523813149561918</v>
      </c>
    </row>
    <row r="208" spans="1:10" x14ac:dyDescent="0.25">
      <c r="A208" s="3" t="s">
        <v>131</v>
      </c>
      <c r="B208" s="3">
        <v>117</v>
      </c>
      <c r="C208" s="3" t="s">
        <v>24</v>
      </c>
      <c r="D208" s="3">
        <v>4</v>
      </c>
      <c r="E208" s="3">
        <v>12415</v>
      </c>
      <c r="F208" s="3">
        <v>22000</v>
      </c>
      <c r="G208" s="3" t="s">
        <v>7</v>
      </c>
      <c r="H208" s="3">
        <f>COUNTIF(Popu_data!C:C, C208)</f>
        <v>43</v>
      </c>
      <c r="I208" s="5">
        <f t="shared" si="11"/>
        <v>4.2490118577075098</v>
      </c>
      <c r="J208" s="3">
        <v>0.65801773944188091</v>
      </c>
    </row>
    <row r="209" spans="1:10" x14ac:dyDescent="0.25">
      <c r="A209" s="3" t="s">
        <v>37</v>
      </c>
      <c r="B209" s="3">
        <v>25</v>
      </c>
      <c r="C209" s="3" t="s">
        <v>6</v>
      </c>
      <c r="D209" s="3">
        <v>3</v>
      </c>
      <c r="E209" s="3">
        <v>6425</v>
      </c>
      <c r="F209" s="3">
        <v>3000</v>
      </c>
      <c r="G209" s="3" t="s">
        <v>7</v>
      </c>
      <c r="H209" s="3">
        <f>COUNTIF(Popu_data!C:C, C209)</f>
        <v>100</v>
      </c>
      <c r="I209" s="5">
        <f t="shared" si="11"/>
        <v>9.8814229249011856</v>
      </c>
      <c r="J209" s="3">
        <v>0.81549968472653578</v>
      </c>
    </row>
    <row r="210" spans="1:10" x14ac:dyDescent="0.25">
      <c r="A210" s="3" t="s">
        <v>134</v>
      </c>
      <c r="B210" s="3">
        <v>120</v>
      </c>
      <c r="C210" s="3" t="s">
        <v>6</v>
      </c>
      <c r="D210" s="3">
        <v>5</v>
      </c>
      <c r="E210" s="3">
        <v>10592</v>
      </c>
      <c r="F210" s="3">
        <v>8500</v>
      </c>
      <c r="G210" s="3" t="s">
        <v>10</v>
      </c>
      <c r="H210" s="3">
        <f>COUNTIF(Popu_data!C:C, C210)</f>
        <v>100</v>
      </c>
      <c r="I210" s="5">
        <f t="shared" si="11"/>
        <v>9.8814229249011856</v>
      </c>
      <c r="J210" s="3">
        <v>0.8253498115967377</v>
      </c>
    </row>
    <row r="211" spans="1:10" x14ac:dyDescent="0.25">
      <c r="A211" s="3" t="s">
        <v>112</v>
      </c>
      <c r="B211" s="3">
        <v>98</v>
      </c>
      <c r="C211" s="3" t="s">
        <v>3</v>
      </c>
      <c r="D211" s="3">
        <v>3</v>
      </c>
      <c r="E211" s="3">
        <v>7175</v>
      </c>
      <c r="F211" s="3">
        <v>4500</v>
      </c>
      <c r="G211" s="3" t="s">
        <v>10</v>
      </c>
      <c r="H211" s="3">
        <f>COUNTIF(Popu_data!C:C, C211)</f>
        <v>75</v>
      </c>
      <c r="I211" s="5">
        <f t="shared" si="11"/>
        <v>7.4110671936758896</v>
      </c>
      <c r="J211" s="3">
        <v>0.72268270735086515</v>
      </c>
    </row>
    <row r="212" spans="1:10" x14ac:dyDescent="0.25">
      <c r="A212" s="3" t="s">
        <v>253</v>
      </c>
      <c r="B212" s="3">
        <v>239</v>
      </c>
      <c r="C212" s="3" t="s">
        <v>3</v>
      </c>
      <c r="D212" s="3">
        <v>2</v>
      </c>
      <c r="E212" s="3">
        <v>4424</v>
      </c>
      <c r="F212" s="3">
        <v>4250</v>
      </c>
      <c r="G212" s="3" t="s">
        <v>20</v>
      </c>
      <c r="H212" s="3">
        <f>COUNTIF(Popu_data!C:C, C212)</f>
        <v>75</v>
      </c>
      <c r="I212" s="5">
        <f t="shared" si="11"/>
        <v>7.4110671936758896</v>
      </c>
      <c r="J212" s="3">
        <v>0.72842394839923308</v>
      </c>
    </row>
    <row r="213" spans="1:10" x14ac:dyDescent="0.25">
      <c r="A213" s="3" t="s">
        <v>138</v>
      </c>
      <c r="B213" s="3">
        <v>124</v>
      </c>
      <c r="C213" s="3" t="s">
        <v>6</v>
      </c>
      <c r="D213" s="3">
        <v>6</v>
      </c>
      <c r="E213" s="3">
        <v>9275</v>
      </c>
      <c r="F213" s="3">
        <v>4500</v>
      </c>
      <c r="G213" s="3" t="s">
        <v>7</v>
      </c>
      <c r="H213" s="3">
        <f>COUNTIF(Popu_data!C:C, C213)</f>
        <v>100</v>
      </c>
      <c r="I213" s="5">
        <f t="shared" si="11"/>
        <v>9.8814229249011856</v>
      </c>
      <c r="J213" s="3">
        <v>0.85340980363650831</v>
      </c>
    </row>
    <row r="214" spans="1:10" x14ac:dyDescent="0.25">
      <c r="A214" s="3" t="s">
        <v>173</v>
      </c>
      <c r="B214" s="3">
        <v>159</v>
      </c>
      <c r="C214" s="3" t="s">
        <v>13</v>
      </c>
      <c r="D214" s="3">
        <v>4</v>
      </c>
      <c r="E214" s="3">
        <v>12157</v>
      </c>
      <c r="F214" s="3">
        <v>7200</v>
      </c>
      <c r="G214" s="3" t="s">
        <v>14</v>
      </c>
      <c r="H214" s="3">
        <f>COUNTIF(Popu_data!C:C, C214)</f>
        <v>35</v>
      </c>
      <c r="I214" s="5">
        <v>4</v>
      </c>
      <c r="J214" s="3">
        <v>0.79707871403760411</v>
      </c>
    </row>
    <row r="215" spans="1:10" x14ac:dyDescent="0.25">
      <c r="A215" s="3" t="s">
        <v>228</v>
      </c>
      <c r="B215" s="3">
        <v>214</v>
      </c>
      <c r="C215" s="3" t="s">
        <v>6</v>
      </c>
      <c r="D215" s="3">
        <v>8</v>
      </c>
      <c r="E215" s="3">
        <v>26083</v>
      </c>
      <c r="F215" s="3">
        <v>40000</v>
      </c>
      <c r="G215" s="3" t="s">
        <v>45</v>
      </c>
      <c r="H215" s="3">
        <f>COUNTIF(Popu_data!C:C, C215)</f>
        <v>100</v>
      </c>
      <c r="I215" s="5">
        <f t="shared" ref="I215:I220" si="12">H215/253*25</f>
        <v>9.8814229249011856</v>
      </c>
      <c r="J215" s="3">
        <v>0.85423462969213426</v>
      </c>
    </row>
    <row r="216" spans="1:10" x14ac:dyDescent="0.25">
      <c r="A216" s="3" t="s">
        <v>201</v>
      </c>
      <c r="B216" s="3">
        <v>187</v>
      </c>
      <c r="C216" s="3" t="s">
        <v>3</v>
      </c>
      <c r="D216" s="3">
        <v>1</v>
      </c>
      <c r="E216" s="3">
        <v>20452</v>
      </c>
      <c r="F216" s="3">
        <v>2000</v>
      </c>
      <c r="G216" s="3" t="s">
        <v>42</v>
      </c>
      <c r="H216" s="3">
        <f>COUNTIF(Popu_data!C:C, C216)</f>
        <v>75</v>
      </c>
      <c r="I216" s="5">
        <f t="shared" si="12"/>
        <v>7.4110671936758896</v>
      </c>
      <c r="J216" s="3">
        <v>0.79020356315377172</v>
      </c>
    </row>
    <row r="217" spans="1:10" x14ac:dyDescent="0.25">
      <c r="A217" s="3" t="s">
        <v>262</v>
      </c>
      <c r="B217" s="3">
        <v>248</v>
      </c>
      <c r="C217" s="3" t="s">
        <v>24</v>
      </c>
      <c r="D217" s="3">
        <v>4</v>
      </c>
      <c r="E217" s="3">
        <v>12850</v>
      </c>
      <c r="F217" s="3">
        <v>3000</v>
      </c>
      <c r="G217" s="3" t="s">
        <v>4</v>
      </c>
      <c r="H217" s="3">
        <f>COUNTIF(Popu_data!C:C, C217)</f>
        <v>43</v>
      </c>
      <c r="I217" s="5">
        <f t="shared" si="12"/>
        <v>4.2490118577075098</v>
      </c>
      <c r="J217" s="3">
        <v>0.7815090027916527</v>
      </c>
    </row>
    <row r="218" spans="1:10" x14ac:dyDescent="0.25">
      <c r="A218" s="3" t="s">
        <v>207</v>
      </c>
      <c r="B218" s="3">
        <v>193</v>
      </c>
      <c r="C218" s="3" t="s">
        <v>6</v>
      </c>
      <c r="D218" s="3">
        <v>3</v>
      </c>
      <c r="E218" s="3">
        <v>21883</v>
      </c>
      <c r="F218" s="3">
        <v>5000</v>
      </c>
      <c r="G218" s="3" t="s">
        <v>45</v>
      </c>
      <c r="H218" s="3">
        <f>COUNTIF(Popu_data!C:C, C218)</f>
        <v>100</v>
      </c>
      <c r="I218" s="5">
        <f t="shared" si="12"/>
        <v>9.8814229249011856</v>
      </c>
      <c r="J218" s="3">
        <v>0.87955856611159311</v>
      </c>
    </row>
    <row r="219" spans="1:10" x14ac:dyDescent="0.25">
      <c r="A219" s="3" t="s">
        <v>140</v>
      </c>
      <c r="B219" s="3">
        <v>126</v>
      </c>
      <c r="C219" s="3" t="s">
        <v>6</v>
      </c>
      <c r="D219" s="3">
        <v>1</v>
      </c>
      <c r="E219" s="3">
        <v>9317</v>
      </c>
      <c r="F219" s="3">
        <v>12100</v>
      </c>
      <c r="G219" s="3" t="s">
        <v>7</v>
      </c>
      <c r="H219" s="3">
        <f>COUNTIF(Popu_data!C:C, C219)</f>
        <v>100</v>
      </c>
      <c r="I219" s="5">
        <f t="shared" si="12"/>
        <v>9.8814229249011856</v>
      </c>
      <c r="J219" s="3">
        <v>0.8821826641388929</v>
      </c>
    </row>
    <row r="220" spans="1:10" x14ac:dyDescent="0.25">
      <c r="A220" s="3" t="s">
        <v>233</v>
      </c>
      <c r="B220" s="3">
        <v>219</v>
      </c>
      <c r="C220" s="3" t="s">
        <v>6</v>
      </c>
      <c r="D220" s="3">
        <v>6</v>
      </c>
      <c r="E220" s="3">
        <v>19008</v>
      </c>
      <c r="F220" s="3">
        <v>9000</v>
      </c>
      <c r="G220" s="3" t="s">
        <v>14</v>
      </c>
      <c r="H220" s="3">
        <f>COUNTIF(Popu_data!C:C, C220)</f>
        <v>100</v>
      </c>
      <c r="I220" s="5">
        <f t="shared" si="12"/>
        <v>9.8814229249011856</v>
      </c>
      <c r="J220" s="3">
        <v>0.88259132782234839</v>
      </c>
    </row>
    <row r="221" spans="1:10" x14ac:dyDescent="0.25">
      <c r="A221" s="3" t="s">
        <v>133</v>
      </c>
      <c r="B221" s="3">
        <v>119</v>
      </c>
      <c r="C221" s="3" t="s">
        <v>13</v>
      </c>
      <c r="D221" s="3">
        <v>4</v>
      </c>
      <c r="E221" s="3">
        <v>8223</v>
      </c>
      <c r="F221" s="3">
        <v>9800</v>
      </c>
      <c r="G221" s="3" t="s">
        <v>10</v>
      </c>
      <c r="H221" s="3">
        <f>COUNTIF(Popu_data!C:C, C221)</f>
        <v>35</v>
      </c>
      <c r="I221" s="5">
        <v>4</v>
      </c>
      <c r="J221" s="3">
        <v>0.80391370132283391</v>
      </c>
    </row>
    <row r="222" spans="1:10" x14ac:dyDescent="0.25">
      <c r="A222" s="3" t="s">
        <v>17</v>
      </c>
      <c r="B222" s="3">
        <v>9</v>
      </c>
      <c r="C222" s="3" t="s">
        <v>6</v>
      </c>
      <c r="D222" s="3">
        <v>1</v>
      </c>
      <c r="E222" s="3">
        <v>2467</v>
      </c>
      <c r="F222" s="3">
        <v>2000</v>
      </c>
      <c r="G222" s="3" t="s">
        <v>18</v>
      </c>
      <c r="H222" s="3">
        <f>COUNTIF(Popu_data!C:C, C222)</f>
        <v>100</v>
      </c>
      <c r="I222" s="5">
        <f>H222/253*25</f>
        <v>9.8814229249011856</v>
      </c>
      <c r="J222" s="3">
        <v>0.88603166970114844</v>
      </c>
    </row>
    <row r="223" spans="1:10" x14ac:dyDescent="0.25">
      <c r="A223" s="3" t="s">
        <v>163</v>
      </c>
      <c r="B223" s="3">
        <v>149</v>
      </c>
      <c r="C223" s="3" t="s">
        <v>6</v>
      </c>
      <c r="D223" s="3">
        <v>3</v>
      </c>
      <c r="E223" s="3">
        <v>7092</v>
      </c>
      <c r="F223" s="3">
        <v>3500</v>
      </c>
      <c r="G223" s="3" t="s">
        <v>10</v>
      </c>
      <c r="H223" s="3">
        <f>COUNTIF(Popu_data!C:C, C223)</f>
        <v>100</v>
      </c>
      <c r="I223" s="5">
        <f>H223/253*25</f>
        <v>9.8814229249011856</v>
      </c>
      <c r="J223" s="3">
        <v>0.88786055128896613</v>
      </c>
    </row>
    <row r="224" spans="1:10" x14ac:dyDescent="0.25">
      <c r="A224" s="3" t="s">
        <v>142</v>
      </c>
      <c r="B224" s="3">
        <v>128</v>
      </c>
      <c r="C224" s="3" t="s">
        <v>24</v>
      </c>
      <c r="D224" s="3">
        <v>2</v>
      </c>
      <c r="E224" s="3">
        <v>13250</v>
      </c>
      <c r="F224" s="3">
        <v>8000</v>
      </c>
      <c r="G224" s="3" t="s">
        <v>4</v>
      </c>
      <c r="H224" s="3">
        <f>COUNTIF(Popu_data!C:C, C224)</f>
        <v>43</v>
      </c>
      <c r="I224" s="5">
        <f>H224/253*25</f>
        <v>4.2490118577075098</v>
      </c>
      <c r="J224" s="3">
        <v>0.79217056290053789</v>
      </c>
    </row>
    <row r="225" spans="1:10" x14ac:dyDescent="0.25">
      <c r="A225" s="3" t="s">
        <v>145</v>
      </c>
      <c r="B225" s="3">
        <v>131</v>
      </c>
      <c r="C225" s="3" t="s">
        <v>6</v>
      </c>
      <c r="D225" s="3">
        <v>1</v>
      </c>
      <c r="E225" s="3">
        <v>9004</v>
      </c>
      <c r="F225" s="3">
        <v>4850</v>
      </c>
      <c r="G225" s="3" t="s">
        <v>4</v>
      </c>
      <c r="H225" s="3">
        <f>COUNTIF(Popu_data!C:C, C225)</f>
        <v>100</v>
      </c>
      <c r="I225" s="5">
        <f>H225/253*25</f>
        <v>9.8814229249011856</v>
      </c>
      <c r="J225" s="3">
        <v>0.92263755474195241</v>
      </c>
    </row>
    <row r="226" spans="1:10" x14ac:dyDescent="0.25">
      <c r="A226" s="3" t="s">
        <v>41</v>
      </c>
      <c r="B226" s="3">
        <v>29</v>
      </c>
      <c r="C226" s="3" t="s">
        <v>3</v>
      </c>
      <c r="D226" s="3">
        <v>1</v>
      </c>
      <c r="E226" s="3">
        <v>8272</v>
      </c>
      <c r="F226" s="3">
        <v>4500</v>
      </c>
      <c r="G226" s="3" t="s">
        <v>42</v>
      </c>
      <c r="H226" s="3">
        <f>COUNTIF(Popu_data!C:C, C226)</f>
        <v>75</v>
      </c>
      <c r="I226" s="5">
        <f>H226/253*25</f>
        <v>7.4110671936758896</v>
      </c>
      <c r="J226" s="3">
        <v>0.80672875812663103</v>
      </c>
    </row>
    <row r="227" spans="1:10" x14ac:dyDescent="0.25">
      <c r="A227" s="3" t="s">
        <v>101</v>
      </c>
      <c r="B227" s="3">
        <v>87</v>
      </c>
      <c r="C227" s="3" t="s">
        <v>13</v>
      </c>
      <c r="D227" s="3">
        <v>4</v>
      </c>
      <c r="E227" s="3">
        <v>17055</v>
      </c>
      <c r="F227" s="3">
        <v>20000</v>
      </c>
      <c r="G227" s="3" t="s">
        <v>4</v>
      </c>
      <c r="H227" s="3">
        <f>COUNTIF(Popu_data!C:C, C227)</f>
        <v>35</v>
      </c>
      <c r="I227" s="5">
        <v>4</v>
      </c>
      <c r="J227" s="3">
        <v>0.89082314688563979</v>
      </c>
    </row>
    <row r="228" spans="1:10" x14ac:dyDescent="0.25">
      <c r="A228" s="3" t="s">
        <v>197</v>
      </c>
      <c r="B228" s="3">
        <v>183</v>
      </c>
      <c r="C228" s="3" t="s">
        <v>24</v>
      </c>
      <c r="D228" s="3">
        <v>5</v>
      </c>
      <c r="E228" s="3">
        <v>12648</v>
      </c>
      <c r="F228" s="3">
        <v>9500</v>
      </c>
      <c r="G228" s="3" t="s">
        <v>10</v>
      </c>
      <c r="H228" s="3">
        <f>COUNTIF(Popu_data!C:C, C228)</f>
        <v>43</v>
      </c>
      <c r="I228" s="5">
        <f t="shared" ref="I228:I243" si="13">H228/253*25</f>
        <v>4.2490118577075098</v>
      </c>
      <c r="J228" s="3">
        <v>0.80741884734160652</v>
      </c>
    </row>
    <row r="229" spans="1:10" x14ac:dyDescent="0.25">
      <c r="A229" s="3" t="s">
        <v>217</v>
      </c>
      <c r="B229" s="3">
        <v>203</v>
      </c>
      <c r="C229" s="3" t="s">
        <v>6</v>
      </c>
      <c r="D229" s="3">
        <v>4</v>
      </c>
      <c r="E229" s="3">
        <v>5742</v>
      </c>
      <c r="F229" s="3">
        <v>6200</v>
      </c>
      <c r="G229" s="3" t="s">
        <v>7</v>
      </c>
      <c r="H229" s="3">
        <f>COUNTIF(Popu_data!C:C, C229)</f>
        <v>100</v>
      </c>
      <c r="I229" s="5">
        <f t="shared" si="13"/>
        <v>9.8814229249011856</v>
      </c>
      <c r="J229" s="3">
        <v>0.93112764963131678</v>
      </c>
    </row>
    <row r="230" spans="1:10" x14ac:dyDescent="0.25">
      <c r="A230" s="3" t="s">
        <v>38</v>
      </c>
      <c r="B230" s="3">
        <v>26</v>
      </c>
      <c r="C230" s="3" t="s">
        <v>24</v>
      </c>
      <c r="D230" s="3">
        <v>4</v>
      </c>
      <c r="E230" s="3">
        <v>6026</v>
      </c>
      <c r="F230" s="3">
        <v>4650</v>
      </c>
      <c r="G230" s="3" t="s">
        <v>4</v>
      </c>
      <c r="H230" s="3">
        <f>COUNTIF(Popu_data!C:C, C230)</f>
        <v>43</v>
      </c>
      <c r="I230" s="5">
        <f t="shared" si="13"/>
        <v>4.2490118577075098</v>
      </c>
      <c r="J230" s="3">
        <v>0.82624777352455447</v>
      </c>
    </row>
    <row r="231" spans="1:10" x14ac:dyDescent="0.25">
      <c r="A231" s="3" t="s">
        <v>141</v>
      </c>
      <c r="B231" s="3">
        <v>127</v>
      </c>
      <c r="C231" s="3" t="s">
        <v>6</v>
      </c>
      <c r="D231" s="3">
        <v>6</v>
      </c>
      <c r="E231" s="3">
        <v>7925</v>
      </c>
      <c r="F231" s="3">
        <v>6500</v>
      </c>
      <c r="G231" s="3" t="s">
        <v>14</v>
      </c>
      <c r="H231" s="3">
        <f>COUNTIF(Popu_data!C:C, C231)</f>
        <v>100</v>
      </c>
      <c r="I231" s="5">
        <f t="shared" si="13"/>
        <v>9.8814229249011856</v>
      </c>
      <c r="J231" s="3">
        <v>0.93295988036399957</v>
      </c>
    </row>
    <row r="232" spans="1:10" x14ac:dyDescent="0.25">
      <c r="A232" s="3" t="s">
        <v>126</v>
      </c>
      <c r="B232" s="3">
        <v>112</v>
      </c>
      <c r="C232" s="3" t="s">
        <v>6</v>
      </c>
      <c r="D232" s="3">
        <v>8</v>
      </c>
      <c r="E232" s="3">
        <v>14417</v>
      </c>
      <c r="F232" s="3">
        <v>10000</v>
      </c>
      <c r="G232" s="3" t="s">
        <v>14</v>
      </c>
      <c r="H232" s="3">
        <f>COUNTIF(Popu_data!C:C, C232)</f>
        <v>100</v>
      </c>
      <c r="I232" s="5">
        <f t="shared" si="13"/>
        <v>9.8814229249011856</v>
      </c>
      <c r="J232" s="3">
        <v>0.93859415033188021</v>
      </c>
    </row>
    <row r="233" spans="1:10" x14ac:dyDescent="0.25">
      <c r="A233" s="3" t="s">
        <v>49</v>
      </c>
      <c r="B233" s="3">
        <v>35</v>
      </c>
      <c r="C233" s="3" t="s">
        <v>6</v>
      </c>
      <c r="D233" s="3">
        <v>3</v>
      </c>
      <c r="E233" s="3">
        <v>15502</v>
      </c>
      <c r="F233" s="3">
        <v>3500</v>
      </c>
      <c r="G233" s="3" t="s">
        <v>4</v>
      </c>
      <c r="H233" s="3">
        <f>COUNTIF(Popu_data!C:C, C233)</f>
        <v>100</v>
      </c>
      <c r="I233" s="5">
        <f t="shared" si="13"/>
        <v>9.8814229249011856</v>
      </c>
      <c r="J233" s="3">
        <v>0.95603205232397503</v>
      </c>
    </row>
    <row r="234" spans="1:10" x14ac:dyDescent="0.25">
      <c r="A234" s="3" t="s">
        <v>183</v>
      </c>
      <c r="B234" s="3">
        <v>169</v>
      </c>
      <c r="C234" s="3" t="s">
        <v>3</v>
      </c>
      <c r="D234" s="3">
        <v>4</v>
      </c>
      <c r="E234" s="3">
        <v>33983</v>
      </c>
      <c r="F234" s="3">
        <v>25000</v>
      </c>
      <c r="G234" s="3" t="s">
        <v>7</v>
      </c>
      <c r="H234" s="3">
        <f>COUNTIF(Popu_data!C:C, C234)</f>
        <v>75</v>
      </c>
      <c r="I234" s="5">
        <f t="shared" si="13"/>
        <v>7.4110671936758896</v>
      </c>
      <c r="J234" s="3">
        <v>0.85336436620862943</v>
      </c>
    </row>
    <row r="235" spans="1:10" x14ac:dyDescent="0.25">
      <c r="A235" s="3" t="s">
        <v>248</v>
      </c>
      <c r="B235" s="3">
        <v>234</v>
      </c>
      <c r="C235" s="3" t="s">
        <v>3</v>
      </c>
      <c r="D235" s="3">
        <v>3</v>
      </c>
      <c r="E235" s="3">
        <v>7725</v>
      </c>
      <c r="F235" s="3">
        <v>6500</v>
      </c>
      <c r="G235" s="3" t="s">
        <v>14</v>
      </c>
      <c r="H235" s="3">
        <f>COUNTIF(Popu_data!C:C, C235)</f>
        <v>75</v>
      </c>
      <c r="I235" s="5">
        <f t="shared" si="13"/>
        <v>7.4110671936758896</v>
      </c>
      <c r="J235" s="3">
        <v>0.8562723632111966</v>
      </c>
    </row>
    <row r="236" spans="1:10" x14ac:dyDescent="0.25">
      <c r="A236" s="3" t="s">
        <v>54</v>
      </c>
      <c r="B236" s="3">
        <v>40</v>
      </c>
      <c r="C236" s="3" t="s">
        <v>6</v>
      </c>
      <c r="D236" s="3">
        <v>1</v>
      </c>
      <c r="E236" s="3">
        <v>6058</v>
      </c>
      <c r="F236" s="3">
        <v>3100</v>
      </c>
      <c r="G236" s="3" t="s">
        <v>14</v>
      </c>
      <c r="H236" s="3">
        <f>COUNTIF(Popu_data!C:C, C236)</f>
        <v>100</v>
      </c>
      <c r="I236" s="5">
        <f t="shared" si="13"/>
        <v>9.8814229249011856</v>
      </c>
      <c r="J236" s="3">
        <v>0.9634482781009629</v>
      </c>
    </row>
    <row r="237" spans="1:10" x14ac:dyDescent="0.25">
      <c r="A237" s="3" t="s">
        <v>23</v>
      </c>
      <c r="B237" s="3">
        <v>13</v>
      </c>
      <c r="C237" s="3" t="s">
        <v>24</v>
      </c>
      <c r="D237" s="3">
        <v>2</v>
      </c>
      <c r="E237" s="3">
        <v>4770</v>
      </c>
      <c r="F237" s="3">
        <v>3000</v>
      </c>
      <c r="G237" s="3" t="s">
        <v>4</v>
      </c>
      <c r="H237" s="3">
        <f>COUNTIF(Popu_data!C:C, C237)</f>
        <v>43</v>
      </c>
      <c r="I237" s="5">
        <f t="shared" si="13"/>
        <v>4.2490118577075098</v>
      </c>
      <c r="J237" s="3">
        <v>0.84954465422232128</v>
      </c>
    </row>
    <row r="238" spans="1:10" x14ac:dyDescent="0.25">
      <c r="A238" s="3" t="s">
        <v>80</v>
      </c>
      <c r="B238" s="3">
        <v>66</v>
      </c>
      <c r="C238" s="3" t="s">
        <v>3</v>
      </c>
      <c r="D238" s="3">
        <v>6</v>
      </c>
      <c r="E238" s="3">
        <v>31750</v>
      </c>
      <c r="F238" s="3">
        <v>30000</v>
      </c>
      <c r="G238" s="3" t="s">
        <v>4</v>
      </c>
      <c r="H238" s="3">
        <f>COUNTIF(Popu_data!C:C, C238)</f>
        <v>75</v>
      </c>
      <c r="I238" s="5">
        <f t="shared" si="13"/>
        <v>7.4110671936758896</v>
      </c>
      <c r="J238" s="3">
        <v>0.86338461564173219</v>
      </c>
    </row>
    <row r="239" spans="1:10" x14ac:dyDescent="0.25">
      <c r="A239" s="3" t="s">
        <v>135</v>
      </c>
      <c r="B239" s="3">
        <v>121</v>
      </c>
      <c r="C239" s="3" t="s">
        <v>6</v>
      </c>
      <c r="D239" s="3">
        <v>6</v>
      </c>
      <c r="E239" s="3">
        <v>8800</v>
      </c>
      <c r="F239" s="3">
        <v>8000</v>
      </c>
      <c r="G239" s="3" t="s">
        <v>7</v>
      </c>
      <c r="H239" s="3">
        <f>COUNTIF(Popu_data!C:C, C239)</f>
        <v>100</v>
      </c>
      <c r="I239" s="5">
        <f t="shared" si="13"/>
        <v>9.8814229249011856</v>
      </c>
      <c r="J239" s="3">
        <v>0.98239478804645886</v>
      </c>
    </row>
    <row r="240" spans="1:10" x14ac:dyDescent="0.25">
      <c r="A240" s="3" t="s">
        <v>188</v>
      </c>
      <c r="B240" s="3">
        <v>174</v>
      </c>
      <c r="C240" s="3" t="s">
        <v>3</v>
      </c>
      <c r="D240" s="3">
        <v>4</v>
      </c>
      <c r="E240" s="3">
        <v>19583</v>
      </c>
      <c r="F240" s="3">
        <v>4000</v>
      </c>
      <c r="G240" s="3" t="s">
        <v>4</v>
      </c>
      <c r="H240" s="3">
        <f>COUNTIF(Popu_data!C:C, C240)</f>
        <v>75</v>
      </c>
      <c r="I240" s="5">
        <f t="shared" si="13"/>
        <v>7.4110671936758896</v>
      </c>
      <c r="J240" s="3">
        <v>0.87966396077259679</v>
      </c>
    </row>
    <row r="241" spans="1:10" x14ac:dyDescent="0.25">
      <c r="A241" s="3" t="s">
        <v>205</v>
      </c>
      <c r="B241" s="3">
        <v>191</v>
      </c>
      <c r="C241" s="3" t="s">
        <v>3</v>
      </c>
      <c r="D241" s="3">
        <v>3</v>
      </c>
      <c r="E241" s="3">
        <v>9025</v>
      </c>
      <c r="F241" s="3">
        <v>13500</v>
      </c>
      <c r="G241" s="3" t="s">
        <v>34</v>
      </c>
      <c r="H241" s="3">
        <f>COUNTIF(Popu_data!C:C, C241)</f>
        <v>75</v>
      </c>
      <c r="I241" s="5">
        <f t="shared" si="13"/>
        <v>7.4110671936758896</v>
      </c>
      <c r="J241" s="3">
        <v>0.89293562414944994</v>
      </c>
    </row>
    <row r="242" spans="1:10" x14ac:dyDescent="0.25">
      <c r="A242" s="3" t="s">
        <v>29</v>
      </c>
      <c r="B242" s="3">
        <v>18</v>
      </c>
      <c r="C242" s="3" t="s">
        <v>6</v>
      </c>
      <c r="D242" s="3">
        <v>14</v>
      </c>
      <c r="E242" s="3">
        <v>19985</v>
      </c>
      <c r="F242" s="3">
        <v>10740</v>
      </c>
      <c r="G242" s="3" t="s">
        <v>4</v>
      </c>
      <c r="H242" s="3">
        <f>COUNTIF(Popu_data!C:C, C242)</f>
        <v>100</v>
      </c>
      <c r="I242" s="5">
        <f t="shared" si="13"/>
        <v>9.8814229249011856</v>
      </c>
      <c r="J242" s="3">
        <v>0.99345844110876624</v>
      </c>
    </row>
    <row r="243" spans="1:10" x14ac:dyDescent="0.25">
      <c r="A243" s="3" t="s">
        <v>61</v>
      </c>
      <c r="B243" s="3">
        <v>47</v>
      </c>
      <c r="C243" s="3" t="s">
        <v>3</v>
      </c>
      <c r="D243" s="3">
        <v>2</v>
      </c>
      <c r="E243" s="3">
        <v>5000</v>
      </c>
      <c r="F243" s="3">
        <v>5000</v>
      </c>
      <c r="G243" s="3" t="s">
        <v>20</v>
      </c>
      <c r="H243" s="3">
        <f>COUNTIF(Popu_data!C:C, C243)</f>
        <v>75</v>
      </c>
      <c r="I243" s="5">
        <f t="shared" si="13"/>
        <v>7.4110671936758896</v>
      </c>
      <c r="J243" s="3">
        <v>0.89509186161383858</v>
      </c>
    </row>
    <row r="244" spans="1:10" x14ac:dyDescent="0.25">
      <c r="A244" s="3" t="s">
        <v>92</v>
      </c>
      <c r="B244" s="3">
        <v>78</v>
      </c>
      <c r="C244" s="3" t="s">
        <v>13</v>
      </c>
      <c r="D244" s="3">
        <v>5</v>
      </c>
      <c r="E244" s="3">
        <v>16417</v>
      </c>
      <c r="F244" s="3">
        <v>25000</v>
      </c>
      <c r="G244" s="3" t="s">
        <v>4</v>
      </c>
      <c r="H244" s="3">
        <f>COUNTIF(Popu_data!C:C, C244)</f>
        <v>35</v>
      </c>
      <c r="I244" s="5">
        <v>4</v>
      </c>
      <c r="J244" s="3">
        <v>0.90702475878312916</v>
      </c>
    </row>
    <row r="245" spans="1:10" x14ac:dyDescent="0.25">
      <c r="A245" s="3" t="s">
        <v>63</v>
      </c>
      <c r="B245" s="3">
        <v>49</v>
      </c>
      <c r="C245" s="3" t="s">
        <v>6</v>
      </c>
      <c r="D245" s="3">
        <v>6</v>
      </c>
      <c r="E245" s="3">
        <v>16042</v>
      </c>
      <c r="F245" s="3">
        <v>12500</v>
      </c>
      <c r="G245" s="3" t="s">
        <v>4</v>
      </c>
      <c r="H245" s="3">
        <f>COUNTIF(Popu_data!C:C, C245)</f>
        <v>100</v>
      </c>
      <c r="I245" s="5">
        <f>H245/253*25</f>
        <v>9.8814229249011856</v>
      </c>
      <c r="J245" s="3">
        <v>0.9943124287066244</v>
      </c>
    </row>
    <row r="246" spans="1:10" x14ac:dyDescent="0.25">
      <c r="A246" s="3" t="s">
        <v>2</v>
      </c>
      <c r="B246" s="3">
        <v>1</v>
      </c>
      <c r="C246" s="3" t="s">
        <v>3</v>
      </c>
      <c r="D246" s="3">
        <v>1</v>
      </c>
      <c r="E246" s="3">
        <v>6721</v>
      </c>
      <c r="F246" s="3">
        <v>20000</v>
      </c>
      <c r="G246" s="3" t="s">
        <v>4</v>
      </c>
      <c r="H246" s="3">
        <f>COUNTIF(Popu_data!C:C, C246)</f>
        <v>75</v>
      </c>
      <c r="I246" s="5">
        <f>H246/253*25</f>
        <v>7.4110671936758896</v>
      </c>
      <c r="J246" s="3">
        <v>0.90640770227091472</v>
      </c>
    </row>
    <row r="247" spans="1:10" x14ac:dyDescent="0.25">
      <c r="A247" s="3" t="s">
        <v>127</v>
      </c>
      <c r="B247" s="3">
        <v>113</v>
      </c>
      <c r="C247" s="3" t="s">
        <v>3</v>
      </c>
      <c r="D247" s="3">
        <v>5</v>
      </c>
      <c r="E247" s="3">
        <v>6100</v>
      </c>
      <c r="F247" s="3">
        <v>5000</v>
      </c>
      <c r="G247" s="3" t="s">
        <v>14</v>
      </c>
      <c r="H247" s="3">
        <f>COUNTIF(Popu_data!C:C, C247)</f>
        <v>75</v>
      </c>
      <c r="I247" s="5">
        <f>H247/253*25</f>
        <v>7.4110671936758896</v>
      </c>
      <c r="J247" s="3">
        <v>0.91258914845887751</v>
      </c>
    </row>
    <row r="248" spans="1:10" x14ac:dyDescent="0.25">
      <c r="A248" s="3" t="s">
        <v>12</v>
      </c>
      <c r="B248" s="3">
        <v>6</v>
      </c>
      <c r="C248" s="3" t="s">
        <v>13</v>
      </c>
      <c r="D248" s="3">
        <v>4</v>
      </c>
      <c r="E248" s="3">
        <v>7171</v>
      </c>
      <c r="F248" s="3">
        <v>8600</v>
      </c>
      <c r="G248" s="3" t="s">
        <v>14</v>
      </c>
      <c r="H248" s="3">
        <f>COUNTIF(Popu_data!C:C, C248)</f>
        <v>35</v>
      </c>
      <c r="I248" s="5">
        <v>4</v>
      </c>
      <c r="J248" s="3">
        <v>0.94135180215361258</v>
      </c>
    </row>
    <row r="249" spans="1:10" x14ac:dyDescent="0.25">
      <c r="A249" s="3" t="s">
        <v>202</v>
      </c>
      <c r="B249" s="3">
        <v>188</v>
      </c>
      <c r="C249" s="3" t="s">
        <v>24</v>
      </c>
      <c r="D249" s="3">
        <v>5</v>
      </c>
      <c r="E249" s="3">
        <v>16258</v>
      </c>
      <c r="F249" s="3">
        <v>18000</v>
      </c>
      <c r="G249" s="3" t="s">
        <v>14</v>
      </c>
      <c r="H249" s="3">
        <f>COUNTIF(Popu_data!C:C, C249)</f>
        <v>43</v>
      </c>
      <c r="I249" s="5">
        <f t="shared" ref="I249:I254" si="14">H249/253*25</f>
        <v>4.2490118577075098</v>
      </c>
      <c r="J249" s="3">
        <v>0.90211511977635594</v>
      </c>
    </row>
    <row r="250" spans="1:10" x14ac:dyDescent="0.25">
      <c r="A250" s="3" t="s">
        <v>243</v>
      </c>
      <c r="B250" s="3">
        <v>229</v>
      </c>
      <c r="C250" s="3" t="s">
        <v>24</v>
      </c>
      <c r="D250" s="3">
        <v>2</v>
      </c>
      <c r="E250" s="3">
        <v>40583</v>
      </c>
      <c r="F250" s="3">
        <v>3000</v>
      </c>
      <c r="G250" s="3" t="s">
        <v>45</v>
      </c>
      <c r="H250" s="3">
        <f>COUNTIF(Popu_data!C:C, C250)</f>
        <v>43</v>
      </c>
      <c r="I250" s="5">
        <f t="shared" si="14"/>
        <v>4.2490118577075098</v>
      </c>
      <c r="J250" s="3">
        <v>0.98412922597464303</v>
      </c>
    </row>
    <row r="251" spans="1:10" x14ac:dyDescent="0.25">
      <c r="A251" s="3" t="s">
        <v>223</v>
      </c>
      <c r="B251" s="3">
        <v>209</v>
      </c>
      <c r="C251" s="3" t="s">
        <v>6</v>
      </c>
      <c r="D251" s="3">
        <v>2</v>
      </c>
      <c r="E251" s="3">
        <v>9467</v>
      </c>
      <c r="F251" s="3">
        <v>2000</v>
      </c>
      <c r="G251" s="3" t="s">
        <v>34</v>
      </c>
      <c r="H251" s="3">
        <f>COUNTIF(Popu_data!C:C, C251)</f>
        <v>100</v>
      </c>
      <c r="I251" s="5">
        <f t="shared" si="14"/>
        <v>9.8814229249011856</v>
      </c>
      <c r="J251" s="3">
        <v>0.99552804247442073</v>
      </c>
    </row>
    <row r="252" spans="1:10" x14ac:dyDescent="0.25">
      <c r="A252" s="3" t="s">
        <v>161</v>
      </c>
      <c r="B252" s="3">
        <v>147</v>
      </c>
      <c r="C252" s="3" t="s">
        <v>3</v>
      </c>
      <c r="D252" s="3">
        <v>2</v>
      </c>
      <c r="E252" s="3">
        <v>8167</v>
      </c>
      <c r="F252" s="3">
        <v>12500</v>
      </c>
      <c r="G252" s="3" t="s">
        <v>10</v>
      </c>
      <c r="H252" s="3">
        <f>COUNTIF(Popu_data!C:C, C252)</f>
        <v>75</v>
      </c>
      <c r="I252" s="5">
        <f t="shared" si="14"/>
        <v>7.4110671936758896</v>
      </c>
      <c r="J252" s="3">
        <v>0.92149142980736531</v>
      </c>
    </row>
    <row r="253" spans="1:10" x14ac:dyDescent="0.25">
      <c r="A253" s="3" t="s">
        <v>8</v>
      </c>
      <c r="B253" s="3">
        <v>3</v>
      </c>
      <c r="C253" s="3" t="s">
        <v>3</v>
      </c>
      <c r="D253" s="3">
        <v>4</v>
      </c>
      <c r="E253" s="3">
        <v>17292</v>
      </c>
      <c r="F253" s="3">
        <v>25000</v>
      </c>
      <c r="G253" s="3" t="s">
        <v>4</v>
      </c>
      <c r="H253" s="3">
        <f>COUNTIF(Popu_data!C:C, C253)</f>
        <v>75</v>
      </c>
      <c r="I253" s="5">
        <f t="shared" si="14"/>
        <v>7.4110671936758896</v>
      </c>
      <c r="J253" s="3">
        <v>0.92182983629967041</v>
      </c>
    </row>
    <row r="254" spans="1:10" x14ac:dyDescent="0.25">
      <c r="A254" s="3" t="s">
        <v>232</v>
      </c>
      <c r="B254" s="3">
        <v>218</v>
      </c>
      <c r="C254" s="3" t="s">
        <v>6</v>
      </c>
      <c r="D254" s="3">
        <v>5</v>
      </c>
      <c r="E254" s="3">
        <v>7792</v>
      </c>
      <c r="F254" s="3">
        <v>10500</v>
      </c>
      <c r="G254" s="3" t="s">
        <v>10</v>
      </c>
      <c r="H254" s="3">
        <f>COUNTIF(Popu_data!C:C, C254)</f>
        <v>100</v>
      </c>
      <c r="I254" s="5">
        <f t="shared" si="14"/>
        <v>9.8814229249011856</v>
      </c>
      <c r="J254" s="3">
        <v>0.99949555508691468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workbookViewId="0">
      <selection activeCell="G38" sqref="G38"/>
    </sheetView>
  </sheetViews>
  <sheetFormatPr defaultRowHeight="15" x14ac:dyDescent="0.25"/>
  <cols>
    <col min="6" max="6" width="11.140625" customWidth="1"/>
    <col min="7" max="7" width="17.140625" customWidth="1"/>
    <col min="10" max="10" width="17.7109375" customWidth="1"/>
  </cols>
  <sheetData>
    <row r="1" spans="1:17" ht="30" x14ac:dyDescent="0.25">
      <c r="A1" s="6" t="s">
        <v>0</v>
      </c>
      <c r="B1" s="7" t="s">
        <v>316</v>
      </c>
      <c r="C1" s="6" t="s">
        <v>291</v>
      </c>
      <c r="D1" s="6" t="s">
        <v>290</v>
      </c>
      <c r="E1" s="6" t="s">
        <v>292</v>
      </c>
      <c r="F1" s="6" t="s">
        <v>293</v>
      </c>
      <c r="G1" s="6" t="s">
        <v>322</v>
      </c>
      <c r="H1" s="33" t="s">
        <v>273</v>
      </c>
      <c r="I1" s="37" t="s">
        <v>274</v>
      </c>
      <c r="J1" s="33" t="s">
        <v>283</v>
      </c>
    </row>
    <row r="2" spans="1:17" x14ac:dyDescent="0.25">
      <c r="A2" s="3" t="s">
        <v>94</v>
      </c>
      <c r="B2" s="8">
        <v>80</v>
      </c>
      <c r="C2" s="3" t="s">
        <v>13</v>
      </c>
      <c r="D2" s="3">
        <v>5</v>
      </c>
      <c r="E2" s="3">
        <v>9283</v>
      </c>
      <c r="F2" s="3">
        <v>6500</v>
      </c>
      <c r="G2" s="3" t="s">
        <v>7</v>
      </c>
      <c r="H2" s="3">
        <v>35</v>
      </c>
      <c r="I2" s="5">
        <v>4</v>
      </c>
      <c r="J2" s="3">
        <v>7.9655520257977508E-2</v>
      </c>
    </row>
    <row r="3" spans="1:17" x14ac:dyDescent="0.25">
      <c r="A3" s="3" t="s">
        <v>108</v>
      </c>
      <c r="B3" s="8">
        <v>94</v>
      </c>
      <c r="C3" s="3" t="s">
        <v>13</v>
      </c>
      <c r="D3" s="3">
        <v>4</v>
      </c>
      <c r="E3" s="3">
        <v>10217</v>
      </c>
      <c r="F3" s="3">
        <v>13500</v>
      </c>
      <c r="G3" s="3" t="s">
        <v>45</v>
      </c>
      <c r="H3" s="3">
        <v>35</v>
      </c>
      <c r="I3" s="5">
        <v>4</v>
      </c>
      <c r="J3" s="3">
        <v>0.12349741906932443</v>
      </c>
    </row>
    <row r="4" spans="1:17" x14ac:dyDescent="0.25">
      <c r="A4" s="3" t="s">
        <v>56</v>
      </c>
      <c r="B4" s="8">
        <v>42</v>
      </c>
      <c r="C4" s="3" t="s">
        <v>13</v>
      </c>
      <c r="D4" s="3">
        <v>5</v>
      </c>
      <c r="E4" s="3">
        <v>19917</v>
      </c>
      <c r="F4" s="3">
        <v>10000</v>
      </c>
      <c r="G4" s="3" t="s">
        <v>4</v>
      </c>
      <c r="H4" s="3">
        <v>35</v>
      </c>
      <c r="I4" s="5">
        <v>4</v>
      </c>
      <c r="J4" s="3">
        <v>0.1271510998117914</v>
      </c>
    </row>
    <row r="5" spans="1:17" x14ac:dyDescent="0.25">
      <c r="A5" s="3" t="s">
        <v>115</v>
      </c>
      <c r="B5" s="8">
        <v>101</v>
      </c>
      <c r="C5" s="3" t="s">
        <v>13</v>
      </c>
      <c r="D5" s="3">
        <v>6</v>
      </c>
      <c r="E5" s="3">
        <v>31223</v>
      </c>
      <c r="F5" s="3">
        <v>27000</v>
      </c>
      <c r="G5" s="3" t="s">
        <v>14</v>
      </c>
      <c r="H5" s="3">
        <v>35</v>
      </c>
      <c r="I5" s="5">
        <v>4</v>
      </c>
      <c r="J5" s="3">
        <v>0.14162988901787565</v>
      </c>
    </row>
    <row r="6" spans="1:17" x14ac:dyDescent="0.25">
      <c r="A6" s="3" t="s">
        <v>40</v>
      </c>
      <c r="B6" s="8">
        <v>28</v>
      </c>
      <c r="C6" s="3" t="s">
        <v>24</v>
      </c>
      <c r="D6" s="3">
        <v>1</v>
      </c>
      <c r="E6" s="3">
        <v>3817</v>
      </c>
      <c r="F6" s="3">
        <v>2000</v>
      </c>
      <c r="G6" s="3" t="s">
        <v>7</v>
      </c>
      <c r="H6" s="3">
        <v>43</v>
      </c>
      <c r="I6" s="5">
        <v>4.2490118577075098</v>
      </c>
      <c r="J6" s="3">
        <v>1.9095169197068773E-2</v>
      </c>
      <c r="Q6">
        <f>COUNTIF(C2:C26,2)</f>
        <v>4</v>
      </c>
    </row>
    <row r="7" spans="1:17" x14ac:dyDescent="0.25">
      <c r="A7" s="3" t="s">
        <v>136</v>
      </c>
      <c r="B7" s="8">
        <v>122</v>
      </c>
      <c r="C7" s="3" t="s">
        <v>24</v>
      </c>
      <c r="D7" s="3">
        <v>4</v>
      </c>
      <c r="E7" s="3">
        <v>7491</v>
      </c>
      <c r="F7" s="3">
        <v>8500</v>
      </c>
      <c r="G7" s="3" t="s">
        <v>10</v>
      </c>
      <c r="H7" s="3">
        <v>43</v>
      </c>
      <c r="I7" s="5">
        <v>4.2490118577075098</v>
      </c>
      <c r="J7" s="3">
        <v>2.6366152941215582E-2</v>
      </c>
    </row>
    <row r="8" spans="1:17" x14ac:dyDescent="0.25">
      <c r="A8" s="3" t="s">
        <v>69</v>
      </c>
      <c r="B8" s="8">
        <v>55</v>
      </c>
      <c r="C8" s="3" t="s">
        <v>24</v>
      </c>
      <c r="D8" s="3">
        <v>5</v>
      </c>
      <c r="E8" s="3">
        <v>12542</v>
      </c>
      <c r="F8" s="3">
        <v>11000</v>
      </c>
      <c r="G8" s="3" t="s">
        <v>14</v>
      </c>
      <c r="H8" s="3">
        <v>43</v>
      </c>
      <c r="I8" s="5">
        <v>4.2490118577075098</v>
      </c>
      <c r="J8" s="3">
        <v>3.5672052948375832E-2</v>
      </c>
    </row>
    <row r="9" spans="1:17" x14ac:dyDescent="0.25">
      <c r="A9" s="3" t="s">
        <v>170</v>
      </c>
      <c r="B9" s="8">
        <v>156</v>
      </c>
      <c r="C9" s="3" t="s">
        <v>24</v>
      </c>
      <c r="D9" s="3">
        <v>2</v>
      </c>
      <c r="E9" s="3">
        <v>6583</v>
      </c>
      <c r="F9" s="3">
        <v>5000</v>
      </c>
      <c r="G9" s="3" t="s">
        <v>42</v>
      </c>
      <c r="H9" s="3">
        <v>43</v>
      </c>
      <c r="I9" s="5">
        <v>4.2490118577075098</v>
      </c>
      <c r="J9" s="3">
        <v>0.10006866953152105</v>
      </c>
    </row>
    <row r="10" spans="1:17" x14ac:dyDescent="0.25">
      <c r="A10" s="3" t="s">
        <v>121</v>
      </c>
      <c r="B10" s="8">
        <v>107</v>
      </c>
      <c r="C10" s="3" t="s">
        <v>6</v>
      </c>
      <c r="D10" s="3">
        <v>8</v>
      </c>
      <c r="E10" s="3">
        <v>19775</v>
      </c>
      <c r="F10" s="3">
        <v>7680</v>
      </c>
      <c r="G10" s="3" t="s">
        <v>7</v>
      </c>
      <c r="H10" s="3">
        <v>100</v>
      </c>
      <c r="I10" s="5">
        <v>9.8814229249011856</v>
      </c>
      <c r="J10" s="3">
        <v>4.6685745376898735E-3</v>
      </c>
    </row>
    <row r="11" spans="1:17" x14ac:dyDescent="0.25">
      <c r="A11" s="3" t="s">
        <v>116</v>
      </c>
      <c r="B11" s="8">
        <v>102</v>
      </c>
      <c r="C11" s="3" t="s">
        <v>6</v>
      </c>
      <c r="D11" s="3">
        <v>5</v>
      </c>
      <c r="E11" s="3">
        <v>16150</v>
      </c>
      <c r="F11" s="3">
        <v>7000</v>
      </c>
      <c r="G11" s="3" t="s">
        <v>4</v>
      </c>
      <c r="H11" s="3">
        <v>100</v>
      </c>
      <c r="I11" s="5">
        <v>9.8814229249011856</v>
      </c>
      <c r="J11" s="3">
        <v>1.0703971846635185E-2</v>
      </c>
    </row>
    <row r="12" spans="1:17" x14ac:dyDescent="0.25">
      <c r="A12" s="3" t="s">
        <v>21</v>
      </c>
      <c r="B12" s="8">
        <v>11</v>
      </c>
      <c r="C12" s="3" t="s">
        <v>6</v>
      </c>
      <c r="D12" s="3">
        <v>4</v>
      </c>
      <c r="E12" s="3">
        <v>13900</v>
      </c>
      <c r="F12" s="3">
        <v>11000</v>
      </c>
      <c r="G12" s="3" t="s">
        <v>4</v>
      </c>
      <c r="H12" s="3">
        <v>100</v>
      </c>
      <c r="I12" s="5">
        <v>9.8814229249011856</v>
      </c>
      <c r="J12" s="3">
        <v>1.2416981543887151E-2</v>
      </c>
    </row>
    <row r="13" spans="1:17" x14ac:dyDescent="0.25">
      <c r="A13" s="3" t="s">
        <v>204</v>
      </c>
      <c r="B13" s="8">
        <v>190</v>
      </c>
      <c r="C13" s="3" t="s">
        <v>6</v>
      </c>
      <c r="D13" s="3">
        <v>3</v>
      </c>
      <c r="E13" s="3">
        <v>5436</v>
      </c>
      <c r="F13" s="3">
        <v>4730</v>
      </c>
      <c r="G13" s="3" t="s">
        <v>4</v>
      </c>
      <c r="H13" s="3">
        <v>100</v>
      </c>
      <c r="I13" s="5">
        <v>9.8814229249011856</v>
      </c>
      <c r="J13" s="3">
        <v>2.5380163669997291E-2</v>
      </c>
    </row>
    <row r="14" spans="1:17" x14ac:dyDescent="0.25">
      <c r="A14" s="3" t="s">
        <v>102</v>
      </c>
      <c r="B14" s="8">
        <v>88</v>
      </c>
      <c r="C14" s="3" t="s">
        <v>6</v>
      </c>
      <c r="D14" s="3">
        <v>1</v>
      </c>
      <c r="E14" s="3">
        <v>7125</v>
      </c>
      <c r="F14" s="3">
        <v>1500</v>
      </c>
      <c r="G14" s="3" t="s">
        <v>42</v>
      </c>
      <c r="H14" s="3">
        <v>100</v>
      </c>
      <c r="I14" s="5">
        <v>9.8814229249011856</v>
      </c>
      <c r="J14" s="3">
        <v>2.5970925928394339E-2</v>
      </c>
    </row>
    <row r="15" spans="1:17" x14ac:dyDescent="0.25">
      <c r="A15" s="3" t="s">
        <v>5</v>
      </c>
      <c r="B15" s="8">
        <v>2</v>
      </c>
      <c r="C15" s="3" t="s">
        <v>6</v>
      </c>
      <c r="D15" s="3">
        <v>1</v>
      </c>
      <c r="E15" s="3">
        <v>13889</v>
      </c>
      <c r="F15" s="3">
        <v>17800</v>
      </c>
      <c r="G15" s="3" t="s">
        <v>7</v>
      </c>
      <c r="H15" s="3">
        <v>100</v>
      </c>
      <c r="I15" s="5">
        <v>9.8814229249011856</v>
      </c>
      <c r="J15" s="3">
        <v>2.7386031119506993E-2</v>
      </c>
    </row>
    <row r="16" spans="1:17" x14ac:dyDescent="0.25">
      <c r="A16" s="3" t="s">
        <v>35</v>
      </c>
      <c r="B16" s="8">
        <v>23</v>
      </c>
      <c r="C16" s="3" t="s">
        <v>6</v>
      </c>
      <c r="D16" s="3">
        <v>3</v>
      </c>
      <c r="E16" s="3">
        <v>15908</v>
      </c>
      <c r="F16" s="3">
        <v>8500</v>
      </c>
      <c r="G16" s="3" t="s">
        <v>34</v>
      </c>
      <c r="H16" s="3">
        <v>100</v>
      </c>
      <c r="I16" s="5">
        <v>9.8814229249011856</v>
      </c>
      <c r="J16" s="3">
        <v>2.783504248418267E-2</v>
      </c>
    </row>
    <row r="17" spans="1:10" x14ac:dyDescent="0.25">
      <c r="A17" s="3" t="s">
        <v>59</v>
      </c>
      <c r="B17" s="8">
        <v>45</v>
      </c>
      <c r="C17" s="3" t="s">
        <v>6</v>
      </c>
      <c r="D17" s="3">
        <v>4</v>
      </c>
      <c r="E17" s="3">
        <v>13042</v>
      </c>
      <c r="F17" s="3">
        <v>7500</v>
      </c>
      <c r="G17" s="3" t="s">
        <v>7</v>
      </c>
      <c r="H17" s="3">
        <v>100</v>
      </c>
      <c r="I17" s="5">
        <v>9.8814229249011856</v>
      </c>
      <c r="J17" s="3">
        <v>3.7487648352550251E-2</v>
      </c>
    </row>
    <row r="18" spans="1:10" x14ac:dyDescent="0.25">
      <c r="A18" s="3" t="s">
        <v>68</v>
      </c>
      <c r="B18" s="8">
        <v>54</v>
      </c>
      <c r="C18" s="3" t="s">
        <v>6</v>
      </c>
      <c r="D18" s="3">
        <v>3</v>
      </c>
      <c r="E18" s="3">
        <v>51300</v>
      </c>
      <c r="F18" s="3">
        <v>15000</v>
      </c>
      <c r="G18" s="3" t="s">
        <v>45</v>
      </c>
      <c r="H18" s="3">
        <v>100</v>
      </c>
      <c r="I18" s="5">
        <v>9.8814229249011856</v>
      </c>
      <c r="J18" s="3">
        <v>4.5448335556355079E-2</v>
      </c>
    </row>
    <row r="19" spans="1:10" x14ac:dyDescent="0.25">
      <c r="A19" s="3" t="s">
        <v>193</v>
      </c>
      <c r="B19" s="8">
        <v>179</v>
      </c>
      <c r="C19" s="3" t="s">
        <v>6</v>
      </c>
      <c r="D19" s="3">
        <v>1</v>
      </c>
      <c r="E19" s="3">
        <v>20467</v>
      </c>
      <c r="F19" s="3">
        <v>2000</v>
      </c>
      <c r="G19" s="3" t="s">
        <v>42</v>
      </c>
      <c r="H19" s="3">
        <v>100</v>
      </c>
      <c r="I19" s="5">
        <v>9.8814229249011856</v>
      </c>
      <c r="J19" s="3">
        <v>4.9639454841541197E-2</v>
      </c>
    </row>
    <row r="20" spans="1:10" x14ac:dyDescent="0.25">
      <c r="A20" s="3" t="s">
        <v>189</v>
      </c>
      <c r="B20" s="8">
        <v>175</v>
      </c>
      <c r="C20" s="3" t="s">
        <v>3</v>
      </c>
      <c r="D20" s="3">
        <v>4</v>
      </c>
      <c r="E20" s="3">
        <v>6167</v>
      </c>
      <c r="F20" s="3">
        <v>10000</v>
      </c>
      <c r="G20" s="3" t="s">
        <v>10</v>
      </c>
      <c r="H20" s="3">
        <v>75</v>
      </c>
      <c r="I20" s="5">
        <v>7.4110671936758896</v>
      </c>
      <c r="J20" s="3">
        <v>1.9549966531891338E-2</v>
      </c>
    </row>
    <row r="21" spans="1:10" x14ac:dyDescent="0.25">
      <c r="A21" s="3" t="s">
        <v>251</v>
      </c>
      <c r="B21" s="8">
        <v>237</v>
      </c>
      <c r="C21" s="3" t="s">
        <v>3</v>
      </c>
      <c r="D21" s="3">
        <v>4</v>
      </c>
      <c r="E21" s="3">
        <v>35667</v>
      </c>
      <c r="F21" s="3">
        <v>25000</v>
      </c>
      <c r="G21" s="3" t="s">
        <v>4</v>
      </c>
      <c r="H21" s="3">
        <v>75</v>
      </c>
      <c r="I21" s="5">
        <v>7.4110671936758896</v>
      </c>
      <c r="J21" s="3">
        <v>3.204341539933464E-2</v>
      </c>
    </row>
    <row r="22" spans="1:10" x14ac:dyDescent="0.25">
      <c r="A22" s="3" t="s">
        <v>53</v>
      </c>
      <c r="B22" s="8">
        <v>39</v>
      </c>
      <c r="C22" s="3" t="s">
        <v>3</v>
      </c>
      <c r="D22" s="3">
        <v>1</v>
      </c>
      <c r="E22" s="3">
        <v>6833</v>
      </c>
      <c r="F22" s="3">
        <v>3000</v>
      </c>
      <c r="G22" s="3" t="s">
        <v>14</v>
      </c>
      <c r="H22" s="3">
        <v>75</v>
      </c>
      <c r="I22" s="5">
        <v>7.4110671936758896</v>
      </c>
      <c r="J22" s="3">
        <v>4.6206863984132984E-2</v>
      </c>
    </row>
    <row r="23" spans="1:10" x14ac:dyDescent="0.25">
      <c r="A23" s="3" t="s">
        <v>256</v>
      </c>
      <c r="B23" s="8">
        <v>242</v>
      </c>
      <c r="C23" s="3" t="s">
        <v>3</v>
      </c>
      <c r="D23" s="3">
        <v>2</v>
      </c>
      <c r="E23" s="3">
        <v>12608</v>
      </c>
      <c r="F23" s="3">
        <v>5200</v>
      </c>
      <c r="G23" s="3" t="s">
        <v>4</v>
      </c>
      <c r="H23" s="3">
        <v>75</v>
      </c>
      <c r="I23" s="5">
        <v>7.4110671936758896</v>
      </c>
      <c r="J23" s="3">
        <v>7.4306196520590229E-2</v>
      </c>
    </row>
    <row r="24" spans="1:10" x14ac:dyDescent="0.25">
      <c r="A24" s="3" t="s">
        <v>39</v>
      </c>
      <c r="B24" s="8">
        <v>27</v>
      </c>
      <c r="C24" s="3" t="s">
        <v>3</v>
      </c>
      <c r="D24" s="3">
        <v>4</v>
      </c>
      <c r="E24" s="3">
        <v>7750</v>
      </c>
      <c r="F24" s="3">
        <v>15000</v>
      </c>
      <c r="G24" s="3" t="s">
        <v>7</v>
      </c>
      <c r="H24" s="3">
        <v>75</v>
      </c>
      <c r="I24" s="5">
        <v>7.4110671936758896</v>
      </c>
      <c r="J24" s="3">
        <v>0.10396598297074278</v>
      </c>
    </row>
    <row r="25" spans="1:10" x14ac:dyDescent="0.25">
      <c r="A25" s="3" t="s">
        <v>81</v>
      </c>
      <c r="B25" s="8">
        <v>67</v>
      </c>
      <c r="C25" s="3" t="s">
        <v>3</v>
      </c>
      <c r="D25" s="3">
        <v>7</v>
      </c>
      <c r="E25" s="3">
        <v>8417</v>
      </c>
      <c r="F25" s="3">
        <v>12000</v>
      </c>
      <c r="G25" s="3" t="s">
        <v>14</v>
      </c>
      <c r="H25" s="3">
        <v>75</v>
      </c>
      <c r="I25" s="5">
        <v>7.4110671936758896</v>
      </c>
      <c r="J25" s="3">
        <v>0.12310303683461565</v>
      </c>
    </row>
    <row r="26" spans="1:10" x14ac:dyDescent="0.25">
      <c r="A26" s="3" t="s">
        <v>98</v>
      </c>
      <c r="B26" s="8">
        <v>84</v>
      </c>
      <c r="C26" s="3" t="s">
        <v>3</v>
      </c>
      <c r="D26" s="3">
        <v>7</v>
      </c>
      <c r="E26" s="3">
        <v>18500</v>
      </c>
      <c r="F26" s="3">
        <v>12000</v>
      </c>
      <c r="G26" s="3" t="s">
        <v>10</v>
      </c>
      <c r="H26" s="3">
        <v>75</v>
      </c>
      <c r="I26" s="5">
        <v>7.4110671936758896</v>
      </c>
      <c r="J26" s="3">
        <v>0.12575303111087455</v>
      </c>
    </row>
    <row r="28" spans="1:10" x14ac:dyDescent="0.25">
      <c r="B28" s="42" t="s">
        <v>324</v>
      </c>
      <c r="C28" s="42">
        <v>253</v>
      </c>
      <c r="D28" s="42"/>
      <c r="E28" s="42"/>
      <c r="F28" s="42"/>
      <c r="G28" s="42"/>
      <c r="H28" s="42"/>
      <c r="I28" s="42"/>
      <c r="J28" s="42"/>
    </row>
    <row r="29" spans="1:10" x14ac:dyDescent="0.25">
      <c r="B29" s="42" t="s">
        <v>325</v>
      </c>
      <c r="C29" s="42">
        <v>25</v>
      </c>
      <c r="D29" s="42"/>
      <c r="E29" s="42"/>
      <c r="F29" s="42"/>
      <c r="G29" s="42"/>
      <c r="H29" s="42"/>
      <c r="I29" s="42"/>
      <c r="J29" s="42"/>
    </row>
    <row r="30" spans="1:10" x14ac:dyDescent="0.25">
      <c r="B30" s="43" t="s">
        <v>352</v>
      </c>
      <c r="C30" s="42"/>
      <c r="D30" s="42"/>
      <c r="E30" s="42"/>
      <c r="F30" s="42"/>
      <c r="G30" s="42"/>
      <c r="H30" s="42"/>
      <c r="I30" s="42"/>
      <c r="J30" s="42"/>
    </row>
    <row r="31" spans="1:10" ht="45" x14ac:dyDescent="0.25">
      <c r="B31" s="43" t="s">
        <v>353</v>
      </c>
      <c r="C31" s="43" t="s">
        <v>354</v>
      </c>
      <c r="D31" s="43" t="s">
        <v>355</v>
      </c>
      <c r="E31" s="41" t="s">
        <v>327</v>
      </c>
      <c r="F31" s="41" t="s">
        <v>332</v>
      </c>
      <c r="G31" s="41" t="s">
        <v>328</v>
      </c>
      <c r="H31" s="41" t="s">
        <v>330</v>
      </c>
      <c r="I31" s="41" t="s">
        <v>329</v>
      </c>
      <c r="J31" s="41" t="s">
        <v>356</v>
      </c>
    </row>
    <row r="32" spans="1:10" x14ac:dyDescent="0.25">
      <c r="B32" s="42">
        <v>1</v>
      </c>
      <c r="C32" s="42">
        <v>4</v>
      </c>
      <c r="D32" s="42">
        <v>35</v>
      </c>
      <c r="E32" s="42">
        <f>SUMIF(C$2:C$26,B32,D$2:D$26)*D32/C32</f>
        <v>175</v>
      </c>
      <c r="F32" s="42">
        <f>SUMIF(C$2:C$26,B32,D$2:D$26)/C32</f>
        <v>5</v>
      </c>
      <c r="G32" s="12">
        <f>SUMIF(C$2:C$26,B32,E$2:E$26)/C32</f>
        <v>17660</v>
      </c>
      <c r="H32" s="12">
        <f>SUMIF(C$2:C$26,B32,E$2:E$26)/SUMIF(C$2:C$26,B32,D$2:D$26)</f>
        <v>3532</v>
      </c>
      <c r="I32" s="12">
        <f>SUMIF(C$2:C$26,B32,F$2:F$26)/SUMIF(C$2:C$26,B32,D$2:D$26)</f>
        <v>2850</v>
      </c>
      <c r="J32" s="42">
        <f>COUNTIF(C$2:C$26,B32)/C$29</f>
        <v>0.16</v>
      </c>
    </row>
    <row r="33" spans="2:14" x14ac:dyDescent="0.25">
      <c r="B33" s="42">
        <v>2</v>
      </c>
      <c r="C33" s="42">
        <v>4</v>
      </c>
      <c r="D33" s="42">
        <v>43</v>
      </c>
      <c r="E33" s="42">
        <f t="shared" ref="E33:E35" si="0">SUMIF(C$2:C$26,B33,D$2:D$26)*D33/C33</f>
        <v>129</v>
      </c>
      <c r="F33" s="42">
        <f t="shared" ref="F33:F35" si="1">SUMIF(C$2:C$26,B33,D$2:D$26)/C33</f>
        <v>3</v>
      </c>
      <c r="G33" s="12">
        <f t="shared" ref="G33:G35" si="2">SUMIF(C$2:C$26,B33,E$2:E$26)/C33</f>
        <v>7608.25</v>
      </c>
      <c r="H33" s="12">
        <f t="shared" ref="H33:H35" si="3">SUMIF(C$2:C$26,B33,E$2:E$26)/SUMIF(C$2:C$26,B33,D$2:D$26)</f>
        <v>2536.0833333333335</v>
      </c>
      <c r="I33" s="12">
        <f t="shared" ref="I33:I35" si="4">SUMIF(C$2:C$26,B33,F$2:F$26)/SUMIF(C$2:C$26,B33,D$2:D$26)</f>
        <v>2208.3333333333335</v>
      </c>
      <c r="J33" s="42">
        <f>COUNTIF(C$2:C$26,B33)/C$29</f>
        <v>0.16</v>
      </c>
    </row>
    <row r="34" spans="2:14" x14ac:dyDescent="0.25">
      <c r="B34" s="42">
        <v>3</v>
      </c>
      <c r="C34" s="42">
        <v>10</v>
      </c>
      <c r="D34" s="42">
        <v>100</v>
      </c>
      <c r="E34" s="42">
        <f t="shared" si="0"/>
        <v>330</v>
      </c>
      <c r="F34" s="42">
        <f t="shared" si="1"/>
        <v>3.3</v>
      </c>
      <c r="G34" s="12">
        <f t="shared" si="2"/>
        <v>17699.2</v>
      </c>
      <c r="H34" s="12">
        <f t="shared" si="3"/>
        <v>5363.393939393939</v>
      </c>
      <c r="I34" s="12">
        <f t="shared" si="4"/>
        <v>2506.3636363636365</v>
      </c>
      <c r="J34" s="42">
        <f t="shared" ref="J34:J35" si="5">COUNTIF(C$2:C$26,B34)/C$29</f>
        <v>0.4</v>
      </c>
    </row>
    <row r="35" spans="2:14" x14ac:dyDescent="0.25">
      <c r="B35" s="42">
        <v>9</v>
      </c>
      <c r="C35" s="42">
        <v>7</v>
      </c>
      <c r="D35" s="42">
        <v>75</v>
      </c>
      <c r="E35" s="42">
        <f t="shared" si="0"/>
        <v>310.71428571428572</v>
      </c>
      <c r="F35" s="42">
        <f t="shared" si="1"/>
        <v>4.1428571428571432</v>
      </c>
      <c r="G35" s="12">
        <f t="shared" si="2"/>
        <v>13706</v>
      </c>
      <c r="H35" s="12">
        <f t="shared" si="3"/>
        <v>3308.344827586207</v>
      </c>
      <c r="I35" s="12">
        <f t="shared" si="4"/>
        <v>2834.4827586206898</v>
      </c>
      <c r="J35" s="42">
        <f t="shared" si="5"/>
        <v>0.28000000000000003</v>
      </c>
    </row>
    <row r="36" spans="2:14" x14ac:dyDescent="0.25">
      <c r="B36" s="43" t="s">
        <v>307</v>
      </c>
      <c r="C36" s="43">
        <f t="shared" ref="C36:J36" si="6">SUM(C32:C35)</f>
        <v>25</v>
      </c>
      <c r="D36" s="43">
        <f t="shared" si="6"/>
        <v>253</v>
      </c>
      <c r="E36" s="43">
        <f t="shared" si="6"/>
        <v>944.71428571428578</v>
      </c>
      <c r="F36" s="43">
        <f t="shared" si="6"/>
        <v>15.442857142857143</v>
      </c>
      <c r="G36" s="13">
        <f t="shared" si="6"/>
        <v>56673.45</v>
      </c>
      <c r="H36" s="13">
        <f t="shared" si="6"/>
        <v>14739.822100313479</v>
      </c>
      <c r="I36" s="13">
        <f t="shared" si="6"/>
        <v>10399.17972831766</v>
      </c>
      <c r="J36" s="43">
        <f t="shared" si="6"/>
        <v>1</v>
      </c>
      <c r="K36" s="21"/>
      <c r="L36" s="21"/>
      <c r="M36" s="21"/>
      <c r="N36" s="21"/>
    </row>
    <row r="37" spans="2:14" x14ac:dyDescent="0.25">
      <c r="F37" s="21"/>
      <c r="G37" s="21"/>
      <c r="H37" s="21"/>
      <c r="I37" s="21"/>
      <c r="J37" s="21"/>
      <c r="K37" s="21"/>
      <c r="L37" s="21"/>
      <c r="M37" s="21"/>
      <c r="N37" s="21"/>
    </row>
    <row r="38" spans="2:14" x14ac:dyDescent="0.25">
      <c r="F38" s="39"/>
      <c r="G38" s="21"/>
      <c r="H38" s="21"/>
      <c r="I38" s="21"/>
      <c r="J38" s="21"/>
      <c r="K38" s="21"/>
      <c r="L38" s="21"/>
      <c r="M38" s="21"/>
      <c r="N38" s="21"/>
    </row>
    <row r="39" spans="2:14" x14ac:dyDescent="0.25">
      <c r="F39" s="4"/>
      <c r="G39" s="4"/>
      <c r="H39" s="4"/>
      <c r="I39" s="2"/>
      <c r="J39" s="2"/>
      <c r="K39" s="2"/>
      <c r="L39" s="2"/>
      <c r="M39" s="2"/>
      <c r="N39" s="2"/>
    </row>
    <row r="40" spans="2:14" x14ac:dyDescent="0.25">
      <c r="F40" s="3"/>
      <c r="G40" s="3"/>
      <c r="H40" s="3"/>
      <c r="I40" s="3"/>
      <c r="J40" s="3"/>
      <c r="K40" s="38"/>
      <c r="L40" s="38"/>
      <c r="M40" s="38"/>
      <c r="N40" s="3"/>
    </row>
    <row r="41" spans="2:14" x14ac:dyDescent="0.25">
      <c r="F41" s="3"/>
      <c r="G41" s="3"/>
      <c r="H41" s="3"/>
      <c r="I41" s="3"/>
      <c r="J41" s="3"/>
      <c r="K41" s="38"/>
      <c r="L41" s="38"/>
      <c r="M41" s="38"/>
      <c r="N41" s="3"/>
    </row>
    <row r="42" spans="2:14" x14ac:dyDescent="0.25">
      <c r="F42" s="3"/>
      <c r="G42" s="3"/>
      <c r="H42" s="3"/>
      <c r="I42" s="3"/>
      <c r="J42" s="3"/>
      <c r="K42" s="38"/>
      <c r="L42" s="38"/>
      <c r="M42" s="38"/>
      <c r="N42" s="3"/>
    </row>
    <row r="43" spans="2:14" x14ac:dyDescent="0.25">
      <c r="F43" s="3"/>
      <c r="G43" s="3"/>
      <c r="H43" s="3"/>
      <c r="I43" s="3"/>
      <c r="J43" s="3"/>
      <c r="K43" s="38"/>
      <c r="L43" s="38"/>
      <c r="M43" s="38"/>
      <c r="N43" s="3"/>
    </row>
    <row r="44" spans="2:14" x14ac:dyDescent="0.25">
      <c r="F44" s="36"/>
      <c r="G44" s="36"/>
      <c r="H44" s="36"/>
      <c r="I44" s="36"/>
      <c r="J44" s="36"/>
      <c r="K44" s="36"/>
      <c r="L44" s="36"/>
      <c r="M44" s="36"/>
      <c r="N44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workbookViewId="0">
      <selection activeCell="J17" sqref="J17"/>
    </sheetView>
  </sheetViews>
  <sheetFormatPr defaultRowHeight="15" x14ac:dyDescent="0.25"/>
  <cols>
    <col min="1" max="1" width="21.5703125" customWidth="1"/>
    <col min="6" max="6" width="16.5703125" customWidth="1"/>
    <col min="7" max="7" width="21.42578125" customWidth="1"/>
  </cols>
  <sheetData>
    <row r="1" spans="1:7" ht="30" x14ac:dyDescent="0.25">
      <c r="A1" s="6" t="s">
        <v>0</v>
      </c>
      <c r="B1" s="7" t="s">
        <v>316</v>
      </c>
      <c r="C1" s="6" t="s">
        <v>291</v>
      </c>
      <c r="D1" s="6" t="s">
        <v>290</v>
      </c>
      <c r="E1" s="6" t="s">
        <v>292</v>
      </c>
      <c r="F1" s="6" t="s">
        <v>293</v>
      </c>
      <c r="G1" s="6" t="s">
        <v>322</v>
      </c>
    </row>
    <row r="2" spans="1:7" x14ac:dyDescent="0.25">
      <c r="A2" s="3" t="s">
        <v>12</v>
      </c>
      <c r="B2" s="8">
        <v>6</v>
      </c>
      <c r="C2" s="3" t="s">
        <v>13</v>
      </c>
      <c r="D2" s="3">
        <v>4</v>
      </c>
      <c r="E2" s="3">
        <v>7171</v>
      </c>
      <c r="F2" s="3">
        <v>8600</v>
      </c>
      <c r="G2" s="3" t="s">
        <v>14</v>
      </c>
    </row>
    <row r="3" spans="1:7" x14ac:dyDescent="0.25">
      <c r="A3" s="3" t="s">
        <v>19</v>
      </c>
      <c r="B3" s="8">
        <v>10</v>
      </c>
      <c r="C3" s="3" t="s">
        <v>13</v>
      </c>
      <c r="D3" s="3">
        <v>3</v>
      </c>
      <c r="E3" s="3">
        <v>6338</v>
      </c>
      <c r="F3" s="3">
        <v>6500</v>
      </c>
      <c r="G3" s="3" t="s">
        <v>20</v>
      </c>
    </row>
    <row r="4" spans="1:7" x14ac:dyDescent="0.25">
      <c r="A4" s="3" t="s">
        <v>56</v>
      </c>
      <c r="B4" s="8">
        <v>42</v>
      </c>
      <c r="C4" s="3" t="s">
        <v>13</v>
      </c>
      <c r="D4" s="3">
        <v>5</v>
      </c>
      <c r="E4" s="3">
        <v>19917</v>
      </c>
      <c r="F4" s="3">
        <v>10000</v>
      </c>
      <c r="G4" s="3" t="s">
        <v>4</v>
      </c>
    </row>
    <row r="5" spans="1:7" x14ac:dyDescent="0.25">
      <c r="A5" s="3" t="s">
        <v>67</v>
      </c>
      <c r="B5" s="8">
        <v>53</v>
      </c>
      <c r="C5" s="3" t="s">
        <v>13</v>
      </c>
      <c r="D5" s="3">
        <v>3</v>
      </c>
      <c r="E5" s="3">
        <v>16805</v>
      </c>
      <c r="F5" s="3">
        <v>9660</v>
      </c>
      <c r="G5" s="3" t="s">
        <v>4</v>
      </c>
    </row>
    <row r="6" spans="1:7" x14ac:dyDescent="0.25">
      <c r="A6" s="3" t="s">
        <v>83</v>
      </c>
      <c r="B6" s="8">
        <v>69</v>
      </c>
      <c r="C6" s="3" t="s">
        <v>13</v>
      </c>
      <c r="D6" s="3">
        <v>4</v>
      </c>
      <c r="E6" s="3">
        <v>6167</v>
      </c>
      <c r="F6" s="3">
        <v>3000</v>
      </c>
      <c r="G6" s="3" t="s">
        <v>14</v>
      </c>
    </row>
    <row r="7" spans="1:7" x14ac:dyDescent="0.25">
      <c r="A7" s="3" t="s">
        <v>87</v>
      </c>
      <c r="B7" s="8">
        <v>73</v>
      </c>
      <c r="C7" s="3" t="s">
        <v>13</v>
      </c>
      <c r="D7" s="3">
        <v>6</v>
      </c>
      <c r="E7" s="3">
        <v>17148</v>
      </c>
      <c r="F7" s="3">
        <v>20600</v>
      </c>
      <c r="G7" s="3" t="s">
        <v>14</v>
      </c>
    </row>
    <row r="8" spans="1:7" x14ac:dyDescent="0.25">
      <c r="A8" s="3" t="s">
        <v>89</v>
      </c>
      <c r="B8" s="8">
        <v>75</v>
      </c>
      <c r="C8" s="3" t="s">
        <v>13</v>
      </c>
      <c r="D8" s="3">
        <v>4</v>
      </c>
      <c r="E8" s="3">
        <v>10158</v>
      </c>
      <c r="F8" s="3">
        <v>9700</v>
      </c>
      <c r="G8" s="3" t="s">
        <v>4</v>
      </c>
    </row>
    <row r="9" spans="1:7" x14ac:dyDescent="0.25">
      <c r="A9" s="3" t="s">
        <v>90</v>
      </c>
      <c r="B9" s="8">
        <v>76</v>
      </c>
      <c r="C9" s="3" t="s">
        <v>13</v>
      </c>
      <c r="D9" s="3">
        <v>5</v>
      </c>
      <c r="E9" s="3">
        <v>13875</v>
      </c>
      <c r="F9" s="3">
        <v>9000</v>
      </c>
      <c r="G9" s="3" t="s">
        <v>34</v>
      </c>
    </row>
    <row r="10" spans="1:7" x14ac:dyDescent="0.25">
      <c r="A10" s="3" t="s">
        <v>92</v>
      </c>
      <c r="B10" s="8">
        <v>78</v>
      </c>
      <c r="C10" s="3" t="s">
        <v>13</v>
      </c>
      <c r="D10" s="3">
        <v>5</v>
      </c>
      <c r="E10" s="3">
        <v>16417</v>
      </c>
      <c r="F10" s="3">
        <v>25000</v>
      </c>
      <c r="G10" s="3" t="s">
        <v>4</v>
      </c>
    </row>
    <row r="11" spans="1:7" x14ac:dyDescent="0.25">
      <c r="A11" s="3" t="s">
        <v>93</v>
      </c>
      <c r="B11" s="8">
        <v>79</v>
      </c>
      <c r="C11" s="3" t="s">
        <v>13</v>
      </c>
      <c r="D11" s="3">
        <v>8</v>
      </c>
      <c r="E11" s="3">
        <v>17005</v>
      </c>
      <c r="F11" s="3">
        <v>15845</v>
      </c>
      <c r="G11" s="3" t="s">
        <v>14</v>
      </c>
    </row>
    <row r="12" spans="1:7" x14ac:dyDescent="0.25">
      <c r="A12" s="3" t="s">
        <v>94</v>
      </c>
      <c r="B12" s="8">
        <v>80</v>
      </c>
      <c r="C12" s="3" t="s">
        <v>13</v>
      </c>
      <c r="D12" s="3">
        <v>5</v>
      </c>
      <c r="E12" s="3">
        <v>9283</v>
      </c>
      <c r="F12" s="3">
        <v>6500</v>
      </c>
      <c r="G12" s="3" t="s">
        <v>7</v>
      </c>
    </row>
    <row r="13" spans="1:7" x14ac:dyDescent="0.25">
      <c r="A13" s="3" t="s">
        <v>101</v>
      </c>
      <c r="B13" s="8">
        <v>87</v>
      </c>
      <c r="C13" s="3" t="s">
        <v>13</v>
      </c>
      <c r="D13" s="3">
        <v>4</v>
      </c>
      <c r="E13" s="3">
        <v>17055</v>
      </c>
      <c r="F13" s="3">
        <v>20000</v>
      </c>
      <c r="G13" s="3" t="s">
        <v>4</v>
      </c>
    </row>
    <row r="14" spans="1:7" x14ac:dyDescent="0.25">
      <c r="A14" s="3" t="s">
        <v>108</v>
      </c>
      <c r="B14" s="8">
        <v>94</v>
      </c>
      <c r="C14" s="3" t="s">
        <v>13</v>
      </c>
      <c r="D14" s="3">
        <v>4</v>
      </c>
      <c r="E14" s="3">
        <v>10217</v>
      </c>
      <c r="F14" s="3">
        <v>13500</v>
      </c>
      <c r="G14" s="3" t="s">
        <v>45</v>
      </c>
    </row>
    <row r="15" spans="1:7" x14ac:dyDescent="0.25">
      <c r="A15" s="3" t="s">
        <v>113</v>
      </c>
      <c r="B15" s="8">
        <v>99</v>
      </c>
      <c r="C15" s="3" t="s">
        <v>13</v>
      </c>
      <c r="D15" s="3">
        <v>6</v>
      </c>
      <c r="E15" s="3">
        <v>6592</v>
      </c>
      <c r="F15" s="3">
        <v>6000</v>
      </c>
      <c r="G15" s="3" t="s">
        <v>7</v>
      </c>
    </row>
    <row r="16" spans="1:7" x14ac:dyDescent="0.25">
      <c r="A16" s="3" t="s">
        <v>115</v>
      </c>
      <c r="B16" s="8">
        <v>101</v>
      </c>
      <c r="C16" s="3" t="s">
        <v>13</v>
      </c>
      <c r="D16" s="3">
        <v>6</v>
      </c>
      <c r="E16" s="3">
        <v>31223</v>
      </c>
      <c r="F16" s="3">
        <v>27000</v>
      </c>
      <c r="G16" s="3" t="s">
        <v>14</v>
      </c>
    </row>
    <row r="17" spans="1:7" x14ac:dyDescent="0.25">
      <c r="A17" s="3" t="s">
        <v>117</v>
      </c>
      <c r="B17" s="8">
        <v>103</v>
      </c>
      <c r="C17" s="3" t="s">
        <v>13</v>
      </c>
      <c r="D17" s="3">
        <v>4</v>
      </c>
      <c r="E17" s="3">
        <v>9133</v>
      </c>
      <c r="F17" s="3">
        <v>3500</v>
      </c>
      <c r="G17" s="3" t="s">
        <v>14</v>
      </c>
    </row>
    <row r="18" spans="1:7" x14ac:dyDescent="0.25">
      <c r="A18" s="3" t="s">
        <v>118</v>
      </c>
      <c r="B18" s="8">
        <v>104</v>
      </c>
      <c r="C18" s="3" t="s">
        <v>13</v>
      </c>
      <c r="D18" s="3">
        <v>5</v>
      </c>
      <c r="E18" s="3">
        <v>12062</v>
      </c>
      <c r="F18" s="3">
        <v>6700</v>
      </c>
      <c r="G18" s="3" t="s">
        <v>4</v>
      </c>
    </row>
    <row r="19" spans="1:7" x14ac:dyDescent="0.25">
      <c r="A19" s="3" t="s">
        <v>133</v>
      </c>
      <c r="B19" s="8">
        <v>119</v>
      </c>
      <c r="C19" s="3" t="s">
        <v>13</v>
      </c>
      <c r="D19" s="3">
        <v>4</v>
      </c>
      <c r="E19" s="3">
        <v>8223</v>
      </c>
      <c r="F19" s="3">
        <v>9800</v>
      </c>
      <c r="G19" s="3" t="s">
        <v>10</v>
      </c>
    </row>
    <row r="20" spans="1:7" x14ac:dyDescent="0.25">
      <c r="A20" s="3" t="s">
        <v>143</v>
      </c>
      <c r="B20" s="8">
        <v>129</v>
      </c>
      <c r="C20" s="3" t="s">
        <v>13</v>
      </c>
      <c r="D20" s="3">
        <v>2</v>
      </c>
      <c r="E20" s="3">
        <v>18567</v>
      </c>
      <c r="F20" s="3">
        <v>14000</v>
      </c>
      <c r="G20" s="3" t="s">
        <v>4</v>
      </c>
    </row>
    <row r="21" spans="1:7" x14ac:dyDescent="0.25">
      <c r="A21" s="3" t="s">
        <v>147</v>
      </c>
      <c r="B21" s="8">
        <v>133</v>
      </c>
      <c r="C21" s="3" t="s">
        <v>13</v>
      </c>
      <c r="D21" s="3">
        <v>5</v>
      </c>
      <c r="E21" s="3">
        <v>19583</v>
      </c>
      <c r="F21" s="3">
        <v>23000</v>
      </c>
      <c r="G21" s="3" t="s">
        <v>4</v>
      </c>
    </row>
    <row r="22" spans="1:7" x14ac:dyDescent="0.25">
      <c r="A22" s="3" t="s">
        <v>150</v>
      </c>
      <c r="B22" s="8">
        <v>136</v>
      </c>
      <c r="C22" s="3" t="s">
        <v>13</v>
      </c>
      <c r="D22" s="3">
        <v>3</v>
      </c>
      <c r="E22" s="3">
        <v>12967</v>
      </c>
      <c r="F22" s="3">
        <v>35000</v>
      </c>
      <c r="G22" s="3" t="s">
        <v>7</v>
      </c>
    </row>
    <row r="23" spans="1:7" x14ac:dyDescent="0.25">
      <c r="A23" s="3" t="s">
        <v>151</v>
      </c>
      <c r="B23" s="8">
        <v>137</v>
      </c>
      <c r="C23" s="3" t="s">
        <v>13</v>
      </c>
      <c r="D23" s="3">
        <v>3</v>
      </c>
      <c r="E23" s="3">
        <v>9217</v>
      </c>
      <c r="F23" s="3">
        <v>5000</v>
      </c>
      <c r="G23" s="3" t="s">
        <v>14</v>
      </c>
    </row>
    <row r="24" spans="1:7" x14ac:dyDescent="0.25">
      <c r="A24" s="3" t="s">
        <v>156</v>
      </c>
      <c r="B24" s="8">
        <v>142</v>
      </c>
      <c r="C24" s="3" t="s">
        <v>13</v>
      </c>
      <c r="D24" s="3">
        <v>2</v>
      </c>
      <c r="E24" s="3">
        <v>4440</v>
      </c>
      <c r="F24" s="3">
        <v>4200</v>
      </c>
      <c r="G24" s="3" t="s">
        <v>10</v>
      </c>
    </row>
    <row r="25" spans="1:7" x14ac:dyDescent="0.25">
      <c r="A25" s="3" t="s">
        <v>158</v>
      </c>
      <c r="B25" s="8">
        <v>144</v>
      </c>
      <c r="C25" s="3" t="s">
        <v>13</v>
      </c>
      <c r="D25" s="3">
        <v>5</v>
      </c>
      <c r="E25" s="3">
        <v>7744</v>
      </c>
      <c r="F25" s="3">
        <v>4250</v>
      </c>
      <c r="G25" s="3" t="s">
        <v>42</v>
      </c>
    </row>
    <row r="26" spans="1:7" x14ac:dyDescent="0.25">
      <c r="A26" s="3" t="s">
        <v>165</v>
      </c>
      <c r="B26" s="8">
        <v>151</v>
      </c>
      <c r="C26" s="3" t="s">
        <v>13</v>
      </c>
      <c r="D26" s="3">
        <v>4</v>
      </c>
      <c r="E26" s="3">
        <v>9067</v>
      </c>
      <c r="F26" s="3">
        <v>9000</v>
      </c>
      <c r="G26" s="3" t="s">
        <v>10</v>
      </c>
    </row>
    <row r="27" spans="1:7" x14ac:dyDescent="0.25">
      <c r="A27" s="3" t="s">
        <v>173</v>
      </c>
      <c r="B27" s="8">
        <v>159</v>
      </c>
      <c r="C27" s="3" t="s">
        <v>13</v>
      </c>
      <c r="D27" s="3">
        <v>4</v>
      </c>
      <c r="E27" s="3">
        <v>12157</v>
      </c>
      <c r="F27" s="3">
        <v>7200</v>
      </c>
      <c r="G27" s="3" t="s">
        <v>14</v>
      </c>
    </row>
    <row r="28" spans="1:7" x14ac:dyDescent="0.25">
      <c r="A28" s="3" t="s">
        <v>186</v>
      </c>
      <c r="B28" s="8">
        <v>172</v>
      </c>
      <c r="C28" s="3" t="s">
        <v>13</v>
      </c>
      <c r="D28" s="3">
        <v>3</v>
      </c>
      <c r="E28" s="3">
        <v>23750</v>
      </c>
      <c r="F28" s="3">
        <v>17000</v>
      </c>
      <c r="G28" s="3" t="s">
        <v>7</v>
      </c>
    </row>
    <row r="29" spans="1:7" x14ac:dyDescent="0.25">
      <c r="A29" s="3" t="s">
        <v>187</v>
      </c>
      <c r="B29" s="8">
        <v>173</v>
      </c>
      <c r="C29" s="3" t="s">
        <v>13</v>
      </c>
      <c r="D29" s="3">
        <v>9</v>
      </c>
      <c r="E29" s="3">
        <v>10900</v>
      </c>
      <c r="F29" s="3">
        <v>12000</v>
      </c>
      <c r="G29" s="3" t="s">
        <v>14</v>
      </c>
    </row>
    <row r="30" spans="1:7" x14ac:dyDescent="0.25">
      <c r="A30" s="3" t="s">
        <v>192</v>
      </c>
      <c r="B30" s="8">
        <v>178</v>
      </c>
      <c r="C30" s="3" t="s">
        <v>13</v>
      </c>
      <c r="D30" s="3">
        <v>6</v>
      </c>
      <c r="E30" s="3">
        <v>23250</v>
      </c>
      <c r="F30" s="3">
        <v>30000</v>
      </c>
      <c r="G30" s="3" t="s">
        <v>45</v>
      </c>
    </row>
    <row r="31" spans="1:7" x14ac:dyDescent="0.25">
      <c r="A31" s="3" t="s">
        <v>211</v>
      </c>
      <c r="B31" s="8">
        <v>197</v>
      </c>
      <c r="C31" s="3" t="s">
        <v>13</v>
      </c>
      <c r="D31" s="3">
        <v>1</v>
      </c>
      <c r="E31" s="3">
        <v>5450</v>
      </c>
      <c r="F31" s="3">
        <v>0</v>
      </c>
      <c r="G31" s="3" t="s">
        <v>42</v>
      </c>
    </row>
    <row r="32" spans="1:7" x14ac:dyDescent="0.25">
      <c r="A32" s="3" t="s">
        <v>227</v>
      </c>
      <c r="B32" s="8">
        <v>213</v>
      </c>
      <c r="C32" s="3" t="s">
        <v>13</v>
      </c>
      <c r="D32" s="3">
        <v>7</v>
      </c>
      <c r="E32" s="3">
        <v>13142</v>
      </c>
      <c r="F32" s="3">
        <v>8000</v>
      </c>
      <c r="G32" s="3" t="s">
        <v>14</v>
      </c>
    </row>
    <row r="33" spans="1:7" x14ac:dyDescent="0.25">
      <c r="A33" s="3" t="s">
        <v>234</v>
      </c>
      <c r="B33" s="8">
        <v>220</v>
      </c>
      <c r="C33" s="3" t="s">
        <v>13</v>
      </c>
      <c r="D33" s="3">
        <v>3</v>
      </c>
      <c r="E33" s="3">
        <v>11183</v>
      </c>
      <c r="F33" s="3">
        <v>4500</v>
      </c>
      <c r="G33" s="3" t="s">
        <v>7</v>
      </c>
    </row>
    <row r="34" spans="1:7" x14ac:dyDescent="0.25">
      <c r="A34" s="3" t="s">
        <v>240</v>
      </c>
      <c r="B34" s="8">
        <v>226</v>
      </c>
      <c r="C34" s="3" t="s">
        <v>13</v>
      </c>
      <c r="D34" s="3">
        <v>3</v>
      </c>
      <c r="E34" s="3">
        <v>11102</v>
      </c>
      <c r="F34" s="3">
        <v>7500</v>
      </c>
      <c r="G34" s="3" t="s">
        <v>10</v>
      </c>
    </row>
    <row r="35" spans="1:7" x14ac:dyDescent="0.25">
      <c r="A35" s="3" t="s">
        <v>257</v>
      </c>
      <c r="B35" s="8">
        <v>243</v>
      </c>
      <c r="C35" s="3" t="s">
        <v>13</v>
      </c>
      <c r="D35" s="3">
        <v>5</v>
      </c>
      <c r="E35" s="3">
        <v>17583</v>
      </c>
      <c r="F35" s="3">
        <v>15000</v>
      </c>
      <c r="G35" s="3" t="s">
        <v>4</v>
      </c>
    </row>
    <row r="36" spans="1:7" x14ac:dyDescent="0.25">
      <c r="A36" s="3" t="s">
        <v>261</v>
      </c>
      <c r="B36" s="8">
        <v>247</v>
      </c>
      <c r="C36" s="3" t="s">
        <v>13</v>
      </c>
      <c r="D36" s="3">
        <v>5</v>
      </c>
      <c r="E36" s="3">
        <v>6767</v>
      </c>
      <c r="F36" s="3">
        <v>8000</v>
      </c>
      <c r="G36" s="3" t="s">
        <v>7</v>
      </c>
    </row>
    <row r="37" spans="1:7" x14ac:dyDescent="0.25">
      <c r="A37" s="3" t="s">
        <v>23</v>
      </c>
      <c r="B37" s="8">
        <v>13</v>
      </c>
      <c r="C37" s="3" t="s">
        <v>24</v>
      </c>
      <c r="D37" s="3">
        <v>2</v>
      </c>
      <c r="E37" s="3">
        <v>4770</v>
      </c>
      <c r="F37" s="3">
        <v>3000</v>
      </c>
      <c r="G37" s="3" t="s">
        <v>4</v>
      </c>
    </row>
    <row r="38" spans="1:7" x14ac:dyDescent="0.25">
      <c r="A38" s="3" t="s">
        <v>38</v>
      </c>
      <c r="B38" s="8">
        <v>26</v>
      </c>
      <c r="C38" s="3" t="s">
        <v>24</v>
      </c>
      <c r="D38" s="3">
        <v>4</v>
      </c>
      <c r="E38" s="3">
        <v>6026</v>
      </c>
      <c r="F38" s="3">
        <v>4650</v>
      </c>
      <c r="G38" s="3" t="s">
        <v>4</v>
      </c>
    </row>
    <row r="39" spans="1:7" x14ac:dyDescent="0.25">
      <c r="A39" s="3" t="s">
        <v>40</v>
      </c>
      <c r="B39" s="8">
        <v>28</v>
      </c>
      <c r="C39" s="3" t="s">
        <v>24</v>
      </c>
      <c r="D39" s="3">
        <v>1</v>
      </c>
      <c r="E39" s="3">
        <v>3817</v>
      </c>
      <c r="F39" s="3">
        <v>2000</v>
      </c>
      <c r="G39" s="3" t="s">
        <v>7</v>
      </c>
    </row>
    <row r="40" spans="1:7" x14ac:dyDescent="0.25">
      <c r="A40" s="3" t="s">
        <v>51</v>
      </c>
      <c r="B40" s="8">
        <v>37</v>
      </c>
      <c r="C40" s="3" t="s">
        <v>24</v>
      </c>
      <c r="D40" s="3">
        <v>4</v>
      </c>
      <c r="E40" s="3">
        <v>6833</v>
      </c>
      <c r="F40" s="3">
        <v>4000</v>
      </c>
      <c r="G40" s="3" t="s">
        <v>10</v>
      </c>
    </row>
    <row r="41" spans="1:7" x14ac:dyDescent="0.25">
      <c r="A41" s="3" t="s">
        <v>60</v>
      </c>
      <c r="B41" s="8">
        <v>46</v>
      </c>
      <c r="C41" s="3" t="s">
        <v>24</v>
      </c>
      <c r="D41" s="3">
        <v>2</v>
      </c>
      <c r="E41" s="3">
        <v>10452</v>
      </c>
      <c r="F41" s="3">
        <v>6500</v>
      </c>
      <c r="G41" s="3" t="s">
        <v>10</v>
      </c>
    </row>
    <row r="42" spans="1:7" x14ac:dyDescent="0.25">
      <c r="A42" s="3" t="s">
        <v>62</v>
      </c>
      <c r="B42" s="8">
        <v>48</v>
      </c>
      <c r="C42" s="3" t="s">
        <v>24</v>
      </c>
      <c r="D42" s="3">
        <v>5</v>
      </c>
      <c r="E42" s="3">
        <v>11602</v>
      </c>
      <c r="F42" s="3">
        <v>7000</v>
      </c>
      <c r="G42" s="3" t="s">
        <v>14</v>
      </c>
    </row>
    <row r="43" spans="1:7" x14ac:dyDescent="0.25">
      <c r="A43" s="3" t="s">
        <v>66</v>
      </c>
      <c r="B43" s="8">
        <v>52</v>
      </c>
      <c r="C43" s="3" t="s">
        <v>24</v>
      </c>
      <c r="D43" s="3">
        <v>8</v>
      </c>
      <c r="E43" s="3">
        <v>13183</v>
      </c>
      <c r="F43" s="3">
        <v>9500</v>
      </c>
      <c r="G43" s="3" t="s">
        <v>4</v>
      </c>
    </row>
    <row r="44" spans="1:7" x14ac:dyDescent="0.25">
      <c r="A44" s="3" t="s">
        <v>69</v>
      </c>
      <c r="B44" s="8">
        <v>55</v>
      </c>
      <c r="C44" s="3" t="s">
        <v>24</v>
      </c>
      <c r="D44" s="3">
        <v>5</v>
      </c>
      <c r="E44" s="3">
        <v>12542</v>
      </c>
      <c r="F44" s="3">
        <v>11000</v>
      </c>
      <c r="G44" s="3" t="s">
        <v>14</v>
      </c>
    </row>
    <row r="45" spans="1:7" x14ac:dyDescent="0.25">
      <c r="A45" s="3" t="s">
        <v>70</v>
      </c>
      <c r="B45" s="8">
        <v>56</v>
      </c>
      <c r="C45" s="3" t="s">
        <v>24</v>
      </c>
      <c r="D45" s="3">
        <v>4</v>
      </c>
      <c r="E45" s="3">
        <v>9783</v>
      </c>
      <c r="F45" s="3">
        <v>7000</v>
      </c>
      <c r="G45" s="3" t="s">
        <v>14</v>
      </c>
    </row>
    <row r="46" spans="1:7" x14ac:dyDescent="0.25">
      <c r="A46" s="3" t="s">
        <v>78</v>
      </c>
      <c r="B46" s="8">
        <v>64</v>
      </c>
      <c r="C46" s="3" t="s">
        <v>24</v>
      </c>
      <c r="D46" s="3">
        <v>3</v>
      </c>
      <c r="E46" s="3">
        <v>18975</v>
      </c>
      <c r="F46" s="3">
        <v>14500</v>
      </c>
      <c r="G46" s="3" t="s">
        <v>45</v>
      </c>
    </row>
    <row r="47" spans="1:7" x14ac:dyDescent="0.25">
      <c r="A47" s="3" t="s">
        <v>79</v>
      </c>
      <c r="B47" s="8">
        <v>65</v>
      </c>
      <c r="C47" s="3" t="s">
        <v>24</v>
      </c>
      <c r="D47" s="3">
        <v>4</v>
      </c>
      <c r="E47" s="3">
        <v>9523</v>
      </c>
      <c r="F47" s="3">
        <v>3870</v>
      </c>
      <c r="G47" s="3" t="s">
        <v>14</v>
      </c>
    </row>
    <row r="48" spans="1:7" x14ac:dyDescent="0.25">
      <c r="A48" s="3" t="s">
        <v>82</v>
      </c>
      <c r="B48" s="8">
        <v>68</v>
      </c>
      <c r="C48" s="3" t="s">
        <v>24</v>
      </c>
      <c r="D48" s="3">
        <v>3</v>
      </c>
      <c r="E48" s="3">
        <v>8680</v>
      </c>
      <c r="F48" s="3">
        <v>4060</v>
      </c>
      <c r="G48" s="3" t="s">
        <v>14</v>
      </c>
    </row>
    <row r="49" spans="1:7" x14ac:dyDescent="0.25">
      <c r="A49" s="3" t="s">
        <v>97</v>
      </c>
      <c r="B49" s="8">
        <v>83</v>
      </c>
      <c r="C49" s="3" t="s">
        <v>24</v>
      </c>
      <c r="D49" s="3">
        <v>2</v>
      </c>
      <c r="E49" s="3">
        <v>6250</v>
      </c>
      <c r="F49" s="3">
        <v>7000</v>
      </c>
      <c r="G49" s="3" t="s">
        <v>7</v>
      </c>
    </row>
    <row r="50" spans="1:7" x14ac:dyDescent="0.25">
      <c r="A50" s="3" t="s">
        <v>109</v>
      </c>
      <c r="B50" s="8">
        <v>95</v>
      </c>
      <c r="C50" s="3" t="s">
        <v>24</v>
      </c>
      <c r="D50" s="3">
        <v>5</v>
      </c>
      <c r="E50" s="3">
        <v>14521</v>
      </c>
      <c r="F50" s="3">
        <v>20300</v>
      </c>
      <c r="G50" s="3" t="s">
        <v>45</v>
      </c>
    </row>
    <row r="51" spans="1:7" x14ac:dyDescent="0.25">
      <c r="A51" s="3" t="s">
        <v>122</v>
      </c>
      <c r="B51" s="8">
        <v>108</v>
      </c>
      <c r="C51" s="3" t="s">
        <v>24</v>
      </c>
      <c r="D51" s="3">
        <v>4</v>
      </c>
      <c r="E51" s="3">
        <v>11679</v>
      </c>
      <c r="F51" s="3">
        <v>6750</v>
      </c>
      <c r="G51" s="3" t="s">
        <v>14</v>
      </c>
    </row>
    <row r="52" spans="1:7" x14ac:dyDescent="0.25">
      <c r="A52" s="3" t="s">
        <v>124</v>
      </c>
      <c r="B52" s="8">
        <v>110</v>
      </c>
      <c r="C52" s="3" t="s">
        <v>24</v>
      </c>
      <c r="D52" s="3">
        <v>8</v>
      </c>
      <c r="E52" s="3">
        <v>12767</v>
      </c>
      <c r="F52" s="3">
        <v>12000</v>
      </c>
      <c r="G52" s="3" t="s">
        <v>7</v>
      </c>
    </row>
    <row r="53" spans="1:7" x14ac:dyDescent="0.25">
      <c r="A53" s="3" t="s">
        <v>125</v>
      </c>
      <c r="B53" s="8">
        <v>111</v>
      </c>
      <c r="C53" s="3" t="s">
        <v>24</v>
      </c>
      <c r="D53" s="3">
        <v>3</v>
      </c>
      <c r="E53" s="3">
        <v>5029</v>
      </c>
      <c r="F53" s="3">
        <v>4500</v>
      </c>
      <c r="G53" s="3" t="s">
        <v>42</v>
      </c>
    </row>
    <row r="54" spans="1:7" x14ac:dyDescent="0.25">
      <c r="A54" s="3" t="s">
        <v>129</v>
      </c>
      <c r="B54" s="8">
        <v>115</v>
      </c>
      <c r="C54" s="3" t="s">
        <v>24</v>
      </c>
      <c r="D54" s="3">
        <v>5</v>
      </c>
      <c r="E54" s="3">
        <v>9475</v>
      </c>
      <c r="F54" s="3">
        <v>5000</v>
      </c>
      <c r="G54" s="3" t="s">
        <v>7</v>
      </c>
    </row>
    <row r="55" spans="1:7" x14ac:dyDescent="0.25">
      <c r="A55" s="3" t="s">
        <v>131</v>
      </c>
      <c r="B55" s="8">
        <v>117</v>
      </c>
      <c r="C55" s="3" t="s">
        <v>24</v>
      </c>
      <c r="D55" s="3">
        <v>4</v>
      </c>
      <c r="E55" s="3">
        <v>12415</v>
      </c>
      <c r="F55" s="3">
        <v>22000</v>
      </c>
      <c r="G55" s="3" t="s">
        <v>7</v>
      </c>
    </row>
    <row r="56" spans="1:7" x14ac:dyDescent="0.25">
      <c r="A56" s="3" t="s">
        <v>136</v>
      </c>
      <c r="B56" s="8">
        <v>122</v>
      </c>
      <c r="C56" s="3" t="s">
        <v>24</v>
      </c>
      <c r="D56" s="3">
        <v>4</v>
      </c>
      <c r="E56" s="3">
        <v>7491</v>
      </c>
      <c r="F56" s="3">
        <v>8500</v>
      </c>
      <c r="G56" s="3" t="s">
        <v>10</v>
      </c>
    </row>
    <row r="57" spans="1:7" x14ac:dyDescent="0.25">
      <c r="A57" s="3" t="s">
        <v>142</v>
      </c>
      <c r="B57" s="8">
        <v>128</v>
      </c>
      <c r="C57" s="3" t="s">
        <v>24</v>
      </c>
      <c r="D57" s="3">
        <v>2</v>
      </c>
      <c r="E57" s="3">
        <v>13250</v>
      </c>
      <c r="F57" s="3">
        <v>8000</v>
      </c>
      <c r="G57" s="3" t="s">
        <v>4</v>
      </c>
    </row>
    <row r="58" spans="1:7" x14ac:dyDescent="0.25">
      <c r="A58" s="3" t="s">
        <v>155</v>
      </c>
      <c r="B58" s="8">
        <v>141</v>
      </c>
      <c r="C58" s="3" t="s">
        <v>24</v>
      </c>
      <c r="D58" s="3">
        <v>3</v>
      </c>
      <c r="E58" s="3">
        <v>10323</v>
      </c>
      <c r="F58" s="3">
        <v>6450</v>
      </c>
      <c r="G58" s="3" t="s">
        <v>10</v>
      </c>
    </row>
    <row r="59" spans="1:7" x14ac:dyDescent="0.25">
      <c r="A59" s="3" t="s">
        <v>157</v>
      </c>
      <c r="B59" s="8">
        <v>143</v>
      </c>
      <c r="C59" s="3" t="s">
        <v>24</v>
      </c>
      <c r="D59" s="3">
        <v>6</v>
      </c>
      <c r="E59" s="3">
        <v>17983</v>
      </c>
      <c r="F59" s="3">
        <v>6500</v>
      </c>
      <c r="G59" s="3" t="s">
        <v>14</v>
      </c>
    </row>
    <row r="60" spans="1:7" x14ac:dyDescent="0.25">
      <c r="A60" s="3" t="s">
        <v>170</v>
      </c>
      <c r="B60" s="8">
        <v>156</v>
      </c>
      <c r="C60" s="3" t="s">
        <v>24</v>
      </c>
      <c r="D60" s="3">
        <v>2</v>
      </c>
      <c r="E60" s="3">
        <v>6583</v>
      </c>
      <c r="F60" s="3">
        <v>5000</v>
      </c>
      <c r="G60" s="3" t="s">
        <v>42</v>
      </c>
    </row>
    <row r="61" spans="1:7" x14ac:dyDescent="0.25">
      <c r="A61" s="3" t="s">
        <v>171</v>
      </c>
      <c r="B61" s="8">
        <v>157</v>
      </c>
      <c r="C61" s="3" t="s">
        <v>24</v>
      </c>
      <c r="D61" s="3">
        <v>4</v>
      </c>
      <c r="E61" s="3">
        <v>10000</v>
      </c>
      <c r="F61" s="3">
        <v>10500</v>
      </c>
      <c r="G61" s="3" t="s">
        <v>7</v>
      </c>
    </row>
    <row r="62" spans="1:7" x14ac:dyDescent="0.25">
      <c r="A62" s="3" t="s">
        <v>176</v>
      </c>
      <c r="B62" s="8">
        <v>162</v>
      </c>
      <c r="C62" s="3" t="s">
        <v>24</v>
      </c>
      <c r="D62" s="3">
        <v>5</v>
      </c>
      <c r="E62" s="3">
        <v>9325</v>
      </c>
      <c r="F62" s="3">
        <v>8000</v>
      </c>
      <c r="G62" s="3" t="s">
        <v>14</v>
      </c>
    </row>
    <row r="63" spans="1:7" x14ac:dyDescent="0.25">
      <c r="A63" s="3" t="s">
        <v>178</v>
      </c>
      <c r="B63" s="8">
        <v>164</v>
      </c>
      <c r="C63" s="3" t="s">
        <v>24</v>
      </c>
      <c r="D63" s="3">
        <v>5</v>
      </c>
      <c r="E63" s="3">
        <v>17352</v>
      </c>
      <c r="F63" s="3">
        <v>7500</v>
      </c>
      <c r="G63" s="3" t="s">
        <v>45</v>
      </c>
    </row>
    <row r="64" spans="1:7" x14ac:dyDescent="0.25">
      <c r="A64" s="3" t="s">
        <v>197</v>
      </c>
      <c r="B64" s="8">
        <v>183</v>
      </c>
      <c r="C64" s="3" t="s">
        <v>24</v>
      </c>
      <c r="D64" s="3">
        <v>5</v>
      </c>
      <c r="E64" s="3">
        <v>12648</v>
      </c>
      <c r="F64" s="3">
        <v>9500</v>
      </c>
      <c r="G64" s="3" t="s">
        <v>10</v>
      </c>
    </row>
    <row r="65" spans="1:7" x14ac:dyDescent="0.25">
      <c r="A65" s="3" t="s">
        <v>202</v>
      </c>
      <c r="B65" s="8">
        <v>188</v>
      </c>
      <c r="C65" s="3" t="s">
        <v>24</v>
      </c>
      <c r="D65" s="3">
        <v>5</v>
      </c>
      <c r="E65" s="3">
        <v>16258</v>
      </c>
      <c r="F65" s="3">
        <v>18000</v>
      </c>
      <c r="G65" s="3" t="s">
        <v>14</v>
      </c>
    </row>
    <row r="66" spans="1:7" x14ac:dyDescent="0.25">
      <c r="A66" s="3" t="s">
        <v>206</v>
      </c>
      <c r="B66" s="8">
        <v>192</v>
      </c>
      <c r="C66" s="3" t="s">
        <v>24</v>
      </c>
      <c r="D66" s="3">
        <v>2</v>
      </c>
      <c r="E66" s="3">
        <v>4883</v>
      </c>
      <c r="F66" s="3">
        <v>5000</v>
      </c>
      <c r="G66" s="3" t="s">
        <v>10</v>
      </c>
    </row>
    <row r="67" spans="1:7" x14ac:dyDescent="0.25">
      <c r="A67" s="3" t="s">
        <v>209</v>
      </c>
      <c r="B67" s="8">
        <v>195</v>
      </c>
      <c r="C67" s="3" t="s">
        <v>24</v>
      </c>
      <c r="D67" s="3">
        <v>4</v>
      </c>
      <c r="E67" s="3">
        <v>16713</v>
      </c>
      <c r="F67" s="3">
        <v>7000</v>
      </c>
      <c r="G67" s="3" t="s">
        <v>45</v>
      </c>
    </row>
    <row r="68" spans="1:7" x14ac:dyDescent="0.25">
      <c r="A68" s="3" t="s">
        <v>210</v>
      </c>
      <c r="B68" s="8">
        <v>196</v>
      </c>
      <c r="C68" s="3" t="s">
        <v>24</v>
      </c>
      <c r="D68" s="3">
        <v>7</v>
      </c>
      <c r="E68" s="3">
        <v>14583</v>
      </c>
      <c r="F68" s="3">
        <v>16000</v>
      </c>
      <c r="G68" s="3" t="s">
        <v>10</v>
      </c>
    </row>
    <row r="69" spans="1:7" x14ac:dyDescent="0.25">
      <c r="A69" s="3" t="s">
        <v>212</v>
      </c>
      <c r="B69" s="8">
        <v>198</v>
      </c>
      <c r="C69" s="3" t="s">
        <v>24</v>
      </c>
      <c r="D69" s="3">
        <v>2</v>
      </c>
      <c r="E69" s="3">
        <v>6681</v>
      </c>
      <c r="F69" s="3">
        <v>10350</v>
      </c>
      <c r="G69" s="3" t="s">
        <v>4</v>
      </c>
    </row>
    <row r="70" spans="1:7" x14ac:dyDescent="0.25">
      <c r="A70" s="3" t="s">
        <v>216</v>
      </c>
      <c r="B70" s="8">
        <v>202</v>
      </c>
      <c r="C70" s="3" t="s">
        <v>24</v>
      </c>
      <c r="D70" s="3">
        <v>2</v>
      </c>
      <c r="E70" s="3">
        <v>6317</v>
      </c>
      <c r="F70" s="3">
        <v>7100</v>
      </c>
      <c r="G70" s="3" t="s">
        <v>14</v>
      </c>
    </row>
    <row r="71" spans="1:7" x14ac:dyDescent="0.25">
      <c r="A71" s="3" t="s">
        <v>218</v>
      </c>
      <c r="B71" s="8">
        <v>204</v>
      </c>
      <c r="C71" s="3" t="s">
        <v>24</v>
      </c>
      <c r="D71" s="3">
        <v>3</v>
      </c>
      <c r="E71" s="3">
        <v>7575</v>
      </c>
      <c r="F71" s="3">
        <v>4500</v>
      </c>
      <c r="G71" s="3" t="s">
        <v>10</v>
      </c>
    </row>
    <row r="72" spans="1:7" x14ac:dyDescent="0.25">
      <c r="A72" s="3" t="s">
        <v>221</v>
      </c>
      <c r="B72" s="8">
        <v>207</v>
      </c>
      <c r="C72" s="3" t="s">
        <v>24</v>
      </c>
      <c r="D72" s="3">
        <v>6</v>
      </c>
      <c r="E72" s="3">
        <v>10050</v>
      </c>
      <c r="F72" s="3">
        <v>6500</v>
      </c>
      <c r="G72" s="3" t="s">
        <v>45</v>
      </c>
    </row>
    <row r="73" spans="1:7" x14ac:dyDescent="0.25">
      <c r="A73" s="3" t="s">
        <v>230</v>
      </c>
      <c r="B73" s="8">
        <v>216</v>
      </c>
      <c r="C73" s="3" t="s">
        <v>24</v>
      </c>
      <c r="D73" s="3">
        <v>2</v>
      </c>
      <c r="E73" s="3">
        <v>10417</v>
      </c>
      <c r="F73" s="3">
        <v>5000</v>
      </c>
      <c r="G73" s="3" t="s">
        <v>7</v>
      </c>
    </row>
    <row r="74" spans="1:7" x14ac:dyDescent="0.25">
      <c r="A74" s="3" t="s">
        <v>237</v>
      </c>
      <c r="B74" s="8">
        <v>223</v>
      </c>
      <c r="C74" s="3" t="s">
        <v>24</v>
      </c>
      <c r="D74" s="3">
        <v>2</v>
      </c>
      <c r="E74" s="3">
        <v>4175</v>
      </c>
      <c r="F74" s="3">
        <v>4500</v>
      </c>
      <c r="G74" s="3" t="s">
        <v>7</v>
      </c>
    </row>
    <row r="75" spans="1:7" x14ac:dyDescent="0.25">
      <c r="A75" s="3" t="s">
        <v>241</v>
      </c>
      <c r="B75" s="8">
        <v>227</v>
      </c>
      <c r="C75" s="3" t="s">
        <v>24</v>
      </c>
      <c r="D75" s="3">
        <v>3</v>
      </c>
      <c r="E75" s="3">
        <v>7892</v>
      </c>
      <c r="F75" s="3">
        <v>6000</v>
      </c>
      <c r="G75" s="3" t="s">
        <v>10</v>
      </c>
    </row>
    <row r="76" spans="1:7" x14ac:dyDescent="0.25">
      <c r="A76" s="3" t="s">
        <v>243</v>
      </c>
      <c r="B76" s="8">
        <v>229</v>
      </c>
      <c r="C76" s="3" t="s">
        <v>24</v>
      </c>
      <c r="D76" s="3">
        <v>2</v>
      </c>
      <c r="E76" s="3">
        <v>40583</v>
      </c>
      <c r="F76" s="3">
        <v>3000</v>
      </c>
      <c r="G76" s="3" t="s">
        <v>45</v>
      </c>
    </row>
    <row r="77" spans="1:7" x14ac:dyDescent="0.25">
      <c r="A77" s="3" t="s">
        <v>250</v>
      </c>
      <c r="B77" s="8">
        <v>236</v>
      </c>
      <c r="C77" s="3" t="s">
        <v>24</v>
      </c>
      <c r="D77" s="3">
        <v>4</v>
      </c>
      <c r="E77" s="3">
        <v>18242</v>
      </c>
      <c r="F77" s="3">
        <v>7500</v>
      </c>
      <c r="G77" s="3" t="s">
        <v>14</v>
      </c>
    </row>
    <row r="78" spans="1:7" x14ac:dyDescent="0.25">
      <c r="A78" s="3" t="s">
        <v>262</v>
      </c>
      <c r="B78" s="8">
        <v>248</v>
      </c>
      <c r="C78" s="3" t="s">
        <v>24</v>
      </c>
      <c r="D78" s="3">
        <v>4</v>
      </c>
      <c r="E78" s="3">
        <v>12850</v>
      </c>
      <c r="F78" s="3">
        <v>3000</v>
      </c>
      <c r="G78" s="3" t="s">
        <v>4</v>
      </c>
    </row>
    <row r="79" spans="1:7" x14ac:dyDescent="0.25">
      <c r="A79" s="3" t="s">
        <v>263</v>
      </c>
      <c r="B79" s="8">
        <v>249</v>
      </c>
      <c r="C79" s="3" t="s">
        <v>24</v>
      </c>
      <c r="D79" s="3">
        <v>6</v>
      </c>
      <c r="E79" s="3">
        <v>14175</v>
      </c>
      <c r="F79" s="3">
        <v>10000</v>
      </c>
      <c r="G79" s="3" t="s">
        <v>7</v>
      </c>
    </row>
    <row r="80" spans="1:7" x14ac:dyDescent="0.25">
      <c r="A80" s="3" t="s">
        <v>5</v>
      </c>
      <c r="B80" s="8">
        <v>2</v>
      </c>
      <c r="C80" s="3" t="s">
        <v>6</v>
      </c>
      <c r="D80" s="3">
        <v>1</v>
      </c>
      <c r="E80" s="3">
        <v>13889</v>
      </c>
      <c r="F80" s="3">
        <v>17800</v>
      </c>
      <c r="G80" s="3" t="s">
        <v>7</v>
      </c>
    </row>
    <row r="81" spans="1:7" x14ac:dyDescent="0.25">
      <c r="A81" s="3" t="s">
        <v>9</v>
      </c>
      <c r="B81" s="8">
        <v>4</v>
      </c>
      <c r="C81" s="3" t="s">
        <v>6</v>
      </c>
      <c r="D81" s="3">
        <v>4</v>
      </c>
      <c r="E81" s="3">
        <v>7483</v>
      </c>
      <c r="F81" s="3">
        <v>5000</v>
      </c>
      <c r="G81" s="3" t="s">
        <v>10</v>
      </c>
    </row>
    <row r="82" spans="1:7" x14ac:dyDescent="0.25">
      <c r="A82" s="3" t="s">
        <v>16</v>
      </c>
      <c r="B82" s="8">
        <v>8</v>
      </c>
      <c r="C82" s="3" t="s">
        <v>6</v>
      </c>
      <c r="D82" s="3">
        <v>4</v>
      </c>
      <c r="E82" s="3">
        <v>17933</v>
      </c>
      <c r="F82" s="3">
        <v>13600</v>
      </c>
      <c r="G82" s="3" t="s">
        <v>10</v>
      </c>
    </row>
    <row r="83" spans="1:7" x14ac:dyDescent="0.25">
      <c r="A83" s="3" t="s">
        <v>17</v>
      </c>
      <c r="B83" s="8">
        <v>9</v>
      </c>
      <c r="C83" s="3" t="s">
        <v>6</v>
      </c>
      <c r="D83" s="3">
        <v>1</v>
      </c>
      <c r="E83" s="3">
        <v>2467</v>
      </c>
      <c r="F83" s="3">
        <v>2000</v>
      </c>
      <c r="G83" s="3" t="s">
        <v>18</v>
      </c>
    </row>
    <row r="84" spans="1:7" x14ac:dyDescent="0.25">
      <c r="A84" s="3" t="s">
        <v>21</v>
      </c>
      <c r="B84" s="8">
        <v>11</v>
      </c>
      <c r="C84" s="3" t="s">
        <v>6</v>
      </c>
      <c r="D84" s="3">
        <v>4</v>
      </c>
      <c r="E84" s="3">
        <v>13900</v>
      </c>
      <c r="F84" s="3">
        <v>11000</v>
      </c>
      <c r="G84" s="3" t="s">
        <v>4</v>
      </c>
    </row>
    <row r="85" spans="1:7" x14ac:dyDescent="0.25">
      <c r="A85" s="3" t="s">
        <v>22</v>
      </c>
      <c r="B85" s="8">
        <v>12</v>
      </c>
      <c r="C85" s="3" t="s">
        <v>6</v>
      </c>
      <c r="D85" s="3">
        <v>4</v>
      </c>
      <c r="E85" s="3">
        <v>11225</v>
      </c>
      <c r="F85" s="3">
        <v>6500</v>
      </c>
      <c r="G85" s="3" t="s">
        <v>10</v>
      </c>
    </row>
    <row r="86" spans="1:7" x14ac:dyDescent="0.25">
      <c r="A86" s="3" t="s">
        <v>25</v>
      </c>
      <c r="B86" s="8">
        <v>14</v>
      </c>
      <c r="C86" s="3" t="s">
        <v>6</v>
      </c>
      <c r="D86" s="3">
        <v>6</v>
      </c>
      <c r="E86" s="3">
        <v>15317</v>
      </c>
      <c r="F86" s="3">
        <v>10000</v>
      </c>
      <c r="G86" s="3" t="s">
        <v>7</v>
      </c>
    </row>
    <row r="87" spans="1:7" x14ac:dyDescent="0.25">
      <c r="A87" s="3" t="s">
        <v>26</v>
      </c>
      <c r="B87" s="8">
        <v>15</v>
      </c>
      <c r="C87" s="3" t="s">
        <v>6</v>
      </c>
      <c r="D87" s="3">
        <v>6</v>
      </c>
      <c r="E87" s="3">
        <v>24667</v>
      </c>
      <c r="F87" s="3">
        <v>18500</v>
      </c>
      <c r="G87" s="3" t="s">
        <v>4</v>
      </c>
    </row>
    <row r="88" spans="1:7" x14ac:dyDescent="0.25">
      <c r="A88" s="3" t="s">
        <v>27</v>
      </c>
      <c r="B88" s="8">
        <v>16</v>
      </c>
      <c r="C88" s="3" t="s">
        <v>6</v>
      </c>
      <c r="D88" s="3">
        <v>2</v>
      </c>
      <c r="E88" s="3">
        <v>8375</v>
      </c>
      <c r="F88" s="3">
        <v>8500</v>
      </c>
      <c r="G88" s="3" t="s">
        <v>7</v>
      </c>
    </row>
    <row r="89" spans="1:7" x14ac:dyDescent="0.25">
      <c r="A89" s="3" t="s">
        <v>28</v>
      </c>
      <c r="B89" s="8">
        <v>17</v>
      </c>
      <c r="C89" s="3" t="s">
        <v>6</v>
      </c>
      <c r="D89" s="3">
        <v>8</v>
      </c>
      <c r="E89" s="3">
        <v>15500</v>
      </c>
      <c r="F89" s="3">
        <v>18000</v>
      </c>
      <c r="G89" s="3" t="s">
        <v>4</v>
      </c>
    </row>
    <row r="90" spans="1:7" x14ac:dyDescent="0.25">
      <c r="A90" s="3" t="s">
        <v>29</v>
      </c>
      <c r="B90" s="8">
        <v>18</v>
      </c>
      <c r="C90" s="3" t="s">
        <v>6</v>
      </c>
      <c r="D90" s="3">
        <v>14</v>
      </c>
      <c r="E90" s="3">
        <v>19985</v>
      </c>
      <c r="F90" s="3">
        <v>10740</v>
      </c>
      <c r="G90" s="3" t="s">
        <v>4</v>
      </c>
    </row>
    <row r="91" spans="1:7" x14ac:dyDescent="0.25">
      <c r="A91" s="3" t="s">
        <v>30</v>
      </c>
      <c r="B91" s="8">
        <v>19</v>
      </c>
      <c r="C91" s="3" t="s">
        <v>6</v>
      </c>
      <c r="D91" s="3">
        <v>4</v>
      </c>
      <c r="E91" s="3">
        <v>9800</v>
      </c>
      <c r="F91" s="3">
        <v>10000</v>
      </c>
      <c r="G91" s="3" t="s">
        <v>4</v>
      </c>
    </row>
    <row r="92" spans="1:7" x14ac:dyDescent="0.25">
      <c r="A92" s="3" t="s">
        <v>31</v>
      </c>
      <c r="B92" s="8">
        <v>20</v>
      </c>
      <c r="C92" s="3" t="s">
        <v>6</v>
      </c>
      <c r="D92" s="3">
        <v>2</v>
      </c>
      <c r="E92" s="3">
        <v>4992</v>
      </c>
      <c r="F92" s="3">
        <v>3500</v>
      </c>
      <c r="G92" s="3" t="s">
        <v>10</v>
      </c>
    </row>
    <row r="93" spans="1:7" x14ac:dyDescent="0.25">
      <c r="A93" s="3" t="s">
        <v>32</v>
      </c>
      <c r="B93" s="8">
        <v>21</v>
      </c>
      <c r="C93" s="3" t="s">
        <v>6</v>
      </c>
      <c r="D93" s="3">
        <v>6</v>
      </c>
      <c r="E93" s="3">
        <v>6320</v>
      </c>
      <c r="F93" s="3">
        <v>12000</v>
      </c>
      <c r="G93" s="3" t="s">
        <v>14</v>
      </c>
    </row>
    <row r="94" spans="1:7" x14ac:dyDescent="0.25">
      <c r="A94" s="3" t="s">
        <v>35</v>
      </c>
      <c r="B94" s="8">
        <v>23</v>
      </c>
      <c r="C94" s="3" t="s">
        <v>6</v>
      </c>
      <c r="D94" s="3">
        <v>3</v>
      </c>
      <c r="E94" s="3">
        <v>15908</v>
      </c>
      <c r="F94" s="3">
        <v>8500</v>
      </c>
      <c r="G94" s="3" t="s">
        <v>34</v>
      </c>
    </row>
    <row r="95" spans="1:7" x14ac:dyDescent="0.25">
      <c r="A95" s="3" t="s">
        <v>36</v>
      </c>
      <c r="B95" s="8">
        <v>24</v>
      </c>
      <c r="C95" s="3" t="s">
        <v>6</v>
      </c>
      <c r="D95" s="3">
        <v>4</v>
      </c>
      <c r="E95" s="3">
        <v>9717</v>
      </c>
      <c r="F95" s="3">
        <v>9000</v>
      </c>
      <c r="G95" s="3" t="s">
        <v>7</v>
      </c>
    </row>
    <row r="96" spans="1:7" x14ac:dyDescent="0.25">
      <c r="A96" s="3" t="s">
        <v>37</v>
      </c>
      <c r="B96" s="8">
        <v>25</v>
      </c>
      <c r="C96" s="3" t="s">
        <v>6</v>
      </c>
      <c r="D96" s="3">
        <v>3</v>
      </c>
      <c r="E96" s="3">
        <v>6425</v>
      </c>
      <c r="F96" s="3">
        <v>3000</v>
      </c>
      <c r="G96" s="3" t="s">
        <v>7</v>
      </c>
    </row>
    <row r="97" spans="1:7" x14ac:dyDescent="0.25">
      <c r="A97" s="3" t="s">
        <v>43</v>
      </c>
      <c r="B97" s="8">
        <v>30</v>
      </c>
      <c r="C97" s="3" t="s">
        <v>6</v>
      </c>
      <c r="D97" s="3">
        <v>5</v>
      </c>
      <c r="E97" s="3">
        <v>33967</v>
      </c>
      <c r="F97" s="3">
        <v>25000</v>
      </c>
      <c r="G97" s="3" t="s">
        <v>14</v>
      </c>
    </row>
    <row r="98" spans="1:7" x14ac:dyDescent="0.25">
      <c r="A98" s="3" t="s">
        <v>44</v>
      </c>
      <c r="B98" s="8">
        <v>31</v>
      </c>
      <c r="C98" s="3" t="s">
        <v>6</v>
      </c>
      <c r="D98" s="3">
        <v>5</v>
      </c>
      <c r="E98" s="3">
        <v>22342</v>
      </c>
      <c r="F98" s="3">
        <v>14500</v>
      </c>
      <c r="G98" s="3" t="s">
        <v>45</v>
      </c>
    </row>
    <row r="99" spans="1:7" x14ac:dyDescent="0.25">
      <c r="A99" s="3" t="s">
        <v>46</v>
      </c>
      <c r="B99" s="8">
        <v>32</v>
      </c>
      <c r="C99" s="3" t="s">
        <v>6</v>
      </c>
      <c r="D99" s="3">
        <v>3</v>
      </c>
      <c r="E99" s="3">
        <v>10542</v>
      </c>
      <c r="F99" s="3">
        <v>10000</v>
      </c>
      <c r="G99" s="3" t="s">
        <v>10</v>
      </c>
    </row>
    <row r="100" spans="1:7" x14ac:dyDescent="0.25">
      <c r="A100" s="3" t="s">
        <v>49</v>
      </c>
      <c r="B100" s="8">
        <v>35</v>
      </c>
      <c r="C100" s="3" t="s">
        <v>6</v>
      </c>
      <c r="D100" s="3">
        <v>3</v>
      </c>
      <c r="E100" s="3">
        <v>15502</v>
      </c>
      <c r="F100" s="3">
        <v>3500</v>
      </c>
      <c r="G100" s="3" t="s">
        <v>4</v>
      </c>
    </row>
    <row r="101" spans="1:7" x14ac:dyDescent="0.25">
      <c r="A101" s="3" t="s">
        <v>50</v>
      </c>
      <c r="B101" s="8">
        <v>36</v>
      </c>
      <c r="C101" s="3" t="s">
        <v>6</v>
      </c>
      <c r="D101" s="3">
        <v>4</v>
      </c>
      <c r="E101" s="3">
        <v>20792</v>
      </c>
      <c r="F101" s="3">
        <v>45000</v>
      </c>
      <c r="G101" s="3" t="s">
        <v>14</v>
      </c>
    </row>
    <row r="102" spans="1:7" x14ac:dyDescent="0.25">
      <c r="A102" s="3" t="s">
        <v>52</v>
      </c>
      <c r="B102" s="8">
        <v>38</v>
      </c>
      <c r="C102" s="3" t="s">
        <v>6</v>
      </c>
      <c r="D102" s="3">
        <v>3</v>
      </c>
      <c r="E102" s="3">
        <v>23750</v>
      </c>
      <c r="F102" s="3">
        <v>15000</v>
      </c>
      <c r="G102" s="3" t="s">
        <v>4</v>
      </c>
    </row>
    <row r="103" spans="1:7" x14ac:dyDescent="0.25">
      <c r="A103" s="3" t="s">
        <v>54</v>
      </c>
      <c r="B103" s="8">
        <v>40</v>
      </c>
      <c r="C103" s="3" t="s">
        <v>6</v>
      </c>
      <c r="D103" s="3">
        <v>1</v>
      </c>
      <c r="E103" s="3">
        <v>6058</v>
      </c>
      <c r="F103" s="3">
        <v>3100</v>
      </c>
      <c r="G103" s="3" t="s">
        <v>14</v>
      </c>
    </row>
    <row r="104" spans="1:7" x14ac:dyDescent="0.25">
      <c r="A104" s="3" t="s">
        <v>55</v>
      </c>
      <c r="B104" s="8">
        <v>41</v>
      </c>
      <c r="C104" s="3" t="s">
        <v>6</v>
      </c>
      <c r="D104" s="3">
        <v>5</v>
      </c>
      <c r="E104" s="3">
        <v>19333</v>
      </c>
      <c r="F104" s="3">
        <v>6000</v>
      </c>
      <c r="G104" s="3" t="s">
        <v>14</v>
      </c>
    </row>
    <row r="105" spans="1:7" x14ac:dyDescent="0.25">
      <c r="A105" s="3" t="s">
        <v>57</v>
      </c>
      <c r="B105" s="8">
        <v>43</v>
      </c>
      <c r="C105" s="3" t="s">
        <v>6</v>
      </c>
      <c r="D105" s="3">
        <v>3</v>
      </c>
      <c r="E105" s="3">
        <v>18167</v>
      </c>
      <c r="F105" s="3">
        <v>8000</v>
      </c>
      <c r="G105" s="3" t="s">
        <v>14</v>
      </c>
    </row>
    <row r="106" spans="1:7" x14ac:dyDescent="0.25">
      <c r="A106" s="3" t="s">
        <v>58</v>
      </c>
      <c r="B106" s="8">
        <v>44</v>
      </c>
      <c r="C106" s="3" t="s">
        <v>6</v>
      </c>
      <c r="D106" s="3">
        <v>5</v>
      </c>
      <c r="E106" s="3">
        <v>7020</v>
      </c>
      <c r="F106" s="3">
        <v>12000</v>
      </c>
      <c r="G106" s="3" t="s">
        <v>34</v>
      </c>
    </row>
    <row r="107" spans="1:7" x14ac:dyDescent="0.25">
      <c r="A107" s="3" t="s">
        <v>59</v>
      </c>
      <c r="B107" s="8">
        <v>45</v>
      </c>
      <c r="C107" s="3" t="s">
        <v>6</v>
      </c>
      <c r="D107" s="3">
        <v>4</v>
      </c>
      <c r="E107" s="3">
        <v>13042</v>
      </c>
      <c r="F107" s="3">
        <v>7500</v>
      </c>
      <c r="G107" s="3" t="s">
        <v>7</v>
      </c>
    </row>
    <row r="108" spans="1:7" x14ac:dyDescent="0.25">
      <c r="A108" s="3" t="s">
        <v>63</v>
      </c>
      <c r="B108" s="8">
        <v>49</v>
      </c>
      <c r="C108" s="3" t="s">
        <v>6</v>
      </c>
      <c r="D108" s="3">
        <v>6</v>
      </c>
      <c r="E108" s="3">
        <v>16042</v>
      </c>
      <c r="F108" s="3">
        <v>12500</v>
      </c>
      <c r="G108" s="3" t="s">
        <v>4</v>
      </c>
    </row>
    <row r="109" spans="1:7" x14ac:dyDescent="0.25">
      <c r="A109" s="3" t="s">
        <v>68</v>
      </c>
      <c r="B109" s="8">
        <v>54</v>
      </c>
      <c r="C109" s="3" t="s">
        <v>6</v>
      </c>
      <c r="D109" s="3">
        <v>3</v>
      </c>
      <c r="E109" s="3">
        <v>51300</v>
      </c>
      <c r="F109" s="3">
        <v>15000</v>
      </c>
      <c r="G109" s="3" t="s">
        <v>45</v>
      </c>
    </row>
    <row r="110" spans="1:7" x14ac:dyDescent="0.25">
      <c r="A110" s="3" t="s">
        <v>73</v>
      </c>
      <c r="B110" s="8">
        <v>59</v>
      </c>
      <c r="C110" s="3" t="s">
        <v>6</v>
      </c>
      <c r="D110" s="3">
        <v>5</v>
      </c>
      <c r="E110" s="3">
        <v>12467</v>
      </c>
      <c r="F110" s="3">
        <v>7000</v>
      </c>
      <c r="G110" s="3" t="s">
        <v>14</v>
      </c>
    </row>
    <row r="111" spans="1:7" x14ac:dyDescent="0.25">
      <c r="A111" s="3" t="s">
        <v>74</v>
      </c>
      <c r="B111" s="8">
        <v>60</v>
      </c>
      <c r="C111" s="3" t="s">
        <v>6</v>
      </c>
      <c r="D111" s="3">
        <v>3</v>
      </c>
      <c r="E111" s="3">
        <v>8025</v>
      </c>
      <c r="F111" s="3">
        <v>13500</v>
      </c>
      <c r="G111" s="3" t="s">
        <v>45</v>
      </c>
    </row>
    <row r="112" spans="1:7" x14ac:dyDescent="0.25">
      <c r="A112" s="3" t="s">
        <v>76</v>
      </c>
      <c r="B112" s="8">
        <v>62</v>
      </c>
      <c r="C112" s="3" t="s">
        <v>6</v>
      </c>
      <c r="D112" s="3">
        <v>5</v>
      </c>
      <c r="E112" s="3">
        <v>20792</v>
      </c>
      <c r="F112" s="3">
        <v>8000</v>
      </c>
      <c r="G112" s="3" t="s">
        <v>34</v>
      </c>
    </row>
    <row r="113" spans="1:7" x14ac:dyDescent="0.25">
      <c r="A113" s="3" t="s">
        <v>77</v>
      </c>
      <c r="B113" s="8">
        <v>63</v>
      </c>
      <c r="C113" s="3" t="s">
        <v>6</v>
      </c>
      <c r="D113" s="3">
        <v>2</v>
      </c>
      <c r="E113" s="3">
        <v>8360</v>
      </c>
      <c r="F113" s="3">
        <v>5500</v>
      </c>
      <c r="G113" s="3" t="s">
        <v>14</v>
      </c>
    </row>
    <row r="114" spans="1:7" x14ac:dyDescent="0.25">
      <c r="A114" s="3" t="s">
        <v>84</v>
      </c>
      <c r="B114" s="8">
        <v>70</v>
      </c>
      <c r="C114" s="3" t="s">
        <v>6</v>
      </c>
      <c r="D114" s="3">
        <v>6</v>
      </c>
      <c r="E114" s="3">
        <v>10345</v>
      </c>
      <c r="F114" s="3">
        <v>12500</v>
      </c>
      <c r="G114" s="3" t="s">
        <v>4</v>
      </c>
    </row>
    <row r="115" spans="1:7" x14ac:dyDescent="0.25">
      <c r="A115" s="3" t="s">
        <v>88</v>
      </c>
      <c r="B115" s="8">
        <v>74</v>
      </c>
      <c r="C115" s="3" t="s">
        <v>6</v>
      </c>
      <c r="D115" s="3">
        <v>1</v>
      </c>
      <c r="E115" s="3">
        <v>4850</v>
      </c>
      <c r="F115" s="3">
        <v>9200</v>
      </c>
      <c r="G115" s="3" t="s">
        <v>34</v>
      </c>
    </row>
    <row r="116" spans="1:7" x14ac:dyDescent="0.25">
      <c r="A116" s="3" t="s">
        <v>91</v>
      </c>
      <c r="B116" s="8">
        <v>77</v>
      </c>
      <c r="C116" s="3" t="s">
        <v>6</v>
      </c>
      <c r="D116" s="3">
        <v>4</v>
      </c>
      <c r="E116" s="3">
        <v>7055</v>
      </c>
      <c r="F116" s="3">
        <v>7589</v>
      </c>
      <c r="G116" s="3" t="s">
        <v>34</v>
      </c>
    </row>
    <row r="117" spans="1:7" x14ac:dyDescent="0.25">
      <c r="A117" s="3" t="s">
        <v>95</v>
      </c>
      <c r="B117" s="8">
        <v>81</v>
      </c>
      <c r="C117" s="3" t="s">
        <v>6</v>
      </c>
      <c r="D117" s="3">
        <v>8</v>
      </c>
      <c r="E117" s="3">
        <v>11250</v>
      </c>
      <c r="F117" s="3">
        <v>18500</v>
      </c>
      <c r="G117" s="3" t="s">
        <v>14</v>
      </c>
    </row>
    <row r="118" spans="1:7" x14ac:dyDescent="0.25">
      <c r="A118" s="3" t="s">
        <v>96</v>
      </c>
      <c r="B118" s="8">
        <v>82</v>
      </c>
      <c r="C118" s="3" t="s">
        <v>6</v>
      </c>
      <c r="D118" s="3">
        <v>2</v>
      </c>
      <c r="E118" s="3">
        <v>10082</v>
      </c>
      <c r="F118" s="3">
        <v>7900</v>
      </c>
      <c r="G118" s="3" t="s">
        <v>10</v>
      </c>
    </row>
    <row r="119" spans="1:7" x14ac:dyDescent="0.25">
      <c r="A119" s="3" t="s">
        <v>99</v>
      </c>
      <c r="B119" s="8">
        <v>85</v>
      </c>
      <c r="C119" s="3" t="s">
        <v>6</v>
      </c>
      <c r="D119" s="3">
        <v>1</v>
      </c>
      <c r="E119" s="3">
        <v>6358</v>
      </c>
      <c r="F119" s="3">
        <v>9000</v>
      </c>
      <c r="G119" s="3" t="s">
        <v>4</v>
      </c>
    </row>
    <row r="120" spans="1:7" x14ac:dyDescent="0.25">
      <c r="A120" s="3" t="s">
        <v>100</v>
      </c>
      <c r="B120" s="8">
        <v>86</v>
      </c>
      <c r="C120" s="3" t="s">
        <v>6</v>
      </c>
      <c r="D120" s="3">
        <v>1</v>
      </c>
      <c r="E120" s="3">
        <v>1457</v>
      </c>
      <c r="F120" s="3">
        <v>680</v>
      </c>
      <c r="G120" s="3" t="s">
        <v>7</v>
      </c>
    </row>
    <row r="121" spans="1:7" x14ac:dyDescent="0.25">
      <c r="A121" s="3" t="s">
        <v>102</v>
      </c>
      <c r="B121" s="8">
        <v>88</v>
      </c>
      <c r="C121" s="3" t="s">
        <v>6</v>
      </c>
      <c r="D121" s="3">
        <v>1</v>
      </c>
      <c r="E121" s="3">
        <v>7125</v>
      </c>
      <c r="F121" s="3">
        <v>1500</v>
      </c>
      <c r="G121" s="3" t="s">
        <v>42</v>
      </c>
    </row>
    <row r="122" spans="1:7" x14ac:dyDescent="0.25">
      <c r="A122" s="3" t="s">
        <v>104</v>
      </c>
      <c r="B122" s="8">
        <v>90</v>
      </c>
      <c r="C122" s="3" t="s">
        <v>6</v>
      </c>
      <c r="D122" s="3">
        <v>4</v>
      </c>
      <c r="E122" s="3">
        <v>7613</v>
      </c>
      <c r="F122" s="3">
        <v>3750</v>
      </c>
      <c r="G122" s="3" t="s">
        <v>10</v>
      </c>
    </row>
    <row r="123" spans="1:7" x14ac:dyDescent="0.25">
      <c r="A123" s="3" t="s">
        <v>106</v>
      </c>
      <c r="B123" s="8">
        <v>92</v>
      </c>
      <c r="C123" s="3" t="s">
        <v>6</v>
      </c>
      <c r="D123" s="3">
        <v>8</v>
      </c>
      <c r="E123" s="3">
        <v>13317</v>
      </c>
      <c r="F123" s="3">
        <v>14000</v>
      </c>
      <c r="G123" s="3" t="s">
        <v>4</v>
      </c>
    </row>
    <row r="124" spans="1:7" x14ac:dyDescent="0.25">
      <c r="A124" s="3" t="s">
        <v>111</v>
      </c>
      <c r="B124" s="8">
        <v>97</v>
      </c>
      <c r="C124" s="3" t="s">
        <v>6</v>
      </c>
      <c r="D124" s="3">
        <v>1</v>
      </c>
      <c r="E124" s="3">
        <v>33750</v>
      </c>
      <c r="F124" s="3">
        <v>19800</v>
      </c>
      <c r="G124" s="3" t="s">
        <v>4</v>
      </c>
    </row>
    <row r="125" spans="1:7" x14ac:dyDescent="0.25">
      <c r="A125" s="3" t="s">
        <v>116</v>
      </c>
      <c r="B125" s="8">
        <v>102</v>
      </c>
      <c r="C125" s="3" t="s">
        <v>6</v>
      </c>
      <c r="D125" s="3">
        <v>5</v>
      </c>
      <c r="E125" s="3">
        <v>16150</v>
      </c>
      <c r="F125" s="3">
        <v>7000</v>
      </c>
      <c r="G125" s="3" t="s">
        <v>4</v>
      </c>
    </row>
    <row r="126" spans="1:7" x14ac:dyDescent="0.25">
      <c r="A126" s="3" t="s">
        <v>119</v>
      </c>
      <c r="B126" s="8">
        <v>105</v>
      </c>
      <c r="C126" s="3" t="s">
        <v>6</v>
      </c>
      <c r="D126" s="3">
        <v>8</v>
      </c>
      <c r="E126" s="3">
        <v>11969</v>
      </c>
      <c r="F126" s="3">
        <v>12650</v>
      </c>
      <c r="G126" s="3" t="s">
        <v>14</v>
      </c>
    </row>
    <row r="127" spans="1:7" x14ac:dyDescent="0.25">
      <c r="A127" s="3" t="s">
        <v>120</v>
      </c>
      <c r="B127" s="8">
        <v>106</v>
      </c>
      <c r="C127" s="3" t="s">
        <v>6</v>
      </c>
      <c r="D127" s="3">
        <v>4</v>
      </c>
      <c r="E127" s="3">
        <v>18392</v>
      </c>
      <c r="F127" s="3">
        <v>6500</v>
      </c>
      <c r="G127" s="3" t="s">
        <v>10</v>
      </c>
    </row>
    <row r="128" spans="1:7" x14ac:dyDescent="0.25">
      <c r="A128" s="3" t="s">
        <v>121</v>
      </c>
      <c r="B128" s="8">
        <v>107</v>
      </c>
      <c r="C128" s="3" t="s">
        <v>6</v>
      </c>
      <c r="D128" s="3">
        <v>8</v>
      </c>
      <c r="E128" s="3">
        <v>19775</v>
      </c>
      <c r="F128" s="3">
        <v>7680</v>
      </c>
      <c r="G128" s="3" t="s">
        <v>7</v>
      </c>
    </row>
    <row r="129" spans="1:7" x14ac:dyDescent="0.25">
      <c r="A129" s="3" t="s">
        <v>123</v>
      </c>
      <c r="B129" s="8">
        <v>109</v>
      </c>
      <c r="C129" s="3" t="s">
        <v>6</v>
      </c>
      <c r="D129" s="3">
        <v>2</v>
      </c>
      <c r="E129" s="3">
        <v>6450</v>
      </c>
      <c r="F129" s="3">
        <v>4000</v>
      </c>
      <c r="G129" s="3" t="s">
        <v>10</v>
      </c>
    </row>
    <row r="130" spans="1:7" x14ac:dyDescent="0.25">
      <c r="A130" s="3" t="s">
        <v>126</v>
      </c>
      <c r="B130" s="8">
        <v>112</v>
      </c>
      <c r="C130" s="3" t="s">
        <v>6</v>
      </c>
      <c r="D130" s="3">
        <v>8</v>
      </c>
      <c r="E130" s="3">
        <v>14417</v>
      </c>
      <c r="F130" s="3">
        <v>10000</v>
      </c>
      <c r="G130" s="3" t="s">
        <v>14</v>
      </c>
    </row>
    <row r="131" spans="1:7" x14ac:dyDescent="0.25">
      <c r="A131" s="3" t="s">
        <v>134</v>
      </c>
      <c r="B131" s="8">
        <v>120</v>
      </c>
      <c r="C131" s="3" t="s">
        <v>6</v>
      </c>
      <c r="D131" s="3">
        <v>5</v>
      </c>
      <c r="E131" s="3">
        <v>10592</v>
      </c>
      <c r="F131" s="3">
        <v>8500</v>
      </c>
      <c r="G131" s="3" t="s">
        <v>10</v>
      </c>
    </row>
    <row r="132" spans="1:7" x14ac:dyDescent="0.25">
      <c r="A132" s="3" t="s">
        <v>135</v>
      </c>
      <c r="B132" s="8">
        <v>121</v>
      </c>
      <c r="C132" s="3" t="s">
        <v>6</v>
      </c>
      <c r="D132" s="3">
        <v>6</v>
      </c>
      <c r="E132" s="3">
        <v>8800</v>
      </c>
      <c r="F132" s="3">
        <v>8000</v>
      </c>
      <c r="G132" s="3" t="s">
        <v>7</v>
      </c>
    </row>
    <row r="133" spans="1:7" x14ac:dyDescent="0.25">
      <c r="A133" s="3" t="s">
        <v>138</v>
      </c>
      <c r="B133" s="8">
        <v>124</v>
      </c>
      <c r="C133" s="3" t="s">
        <v>6</v>
      </c>
      <c r="D133" s="3">
        <v>6</v>
      </c>
      <c r="E133" s="3">
        <v>9275</v>
      </c>
      <c r="F133" s="3">
        <v>4500</v>
      </c>
      <c r="G133" s="3" t="s">
        <v>7</v>
      </c>
    </row>
    <row r="134" spans="1:7" x14ac:dyDescent="0.25">
      <c r="A134" s="3" t="s">
        <v>139</v>
      </c>
      <c r="B134" s="8">
        <v>125</v>
      </c>
      <c r="C134" s="3" t="s">
        <v>6</v>
      </c>
      <c r="D134" s="3">
        <v>4</v>
      </c>
      <c r="E134" s="3">
        <v>32917</v>
      </c>
      <c r="F134" s="3">
        <v>10000</v>
      </c>
      <c r="G134" s="3" t="s">
        <v>4</v>
      </c>
    </row>
    <row r="135" spans="1:7" x14ac:dyDescent="0.25">
      <c r="A135" s="3" t="s">
        <v>140</v>
      </c>
      <c r="B135" s="8">
        <v>126</v>
      </c>
      <c r="C135" s="3" t="s">
        <v>6</v>
      </c>
      <c r="D135" s="3">
        <v>1</v>
      </c>
      <c r="E135" s="3">
        <v>9317</v>
      </c>
      <c r="F135" s="3">
        <v>12100</v>
      </c>
      <c r="G135" s="3" t="s">
        <v>7</v>
      </c>
    </row>
    <row r="136" spans="1:7" x14ac:dyDescent="0.25">
      <c r="A136" s="3" t="s">
        <v>141</v>
      </c>
      <c r="B136" s="8">
        <v>127</v>
      </c>
      <c r="C136" s="3" t="s">
        <v>6</v>
      </c>
      <c r="D136" s="3">
        <v>6</v>
      </c>
      <c r="E136" s="3">
        <v>7925</v>
      </c>
      <c r="F136" s="3">
        <v>6500</v>
      </c>
      <c r="G136" s="3" t="s">
        <v>14</v>
      </c>
    </row>
    <row r="137" spans="1:7" x14ac:dyDescent="0.25">
      <c r="A137" s="3" t="s">
        <v>145</v>
      </c>
      <c r="B137" s="8">
        <v>131</v>
      </c>
      <c r="C137" s="3" t="s">
        <v>6</v>
      </c>
      <c r="D137" s="3">
        <v>1</v>
      </c>
      <c r="E137" s="3">
        <v>9004</v>
      </c>
      <c r="F137" s="3">
        <v>4850</v>
      </c>
      <c r="G137" s="3" t="s">
        <v>4</v>
      </c>
    </row>
    <row r="138" spans="1:7" x14ac:dyDescent="0.25">
      <c r="A138" s="3" t="s">
        <v>146</v>
      </c>
      <c r="B138" s="8">
        <v>132</v>
      </c>
      <c r="C138" s="3" t="s">
        <v>6</v>
      </c>
      <c r="D138" s="3">
        <v>2</v>
      </c>
      <c r="E138" s="3">
        <v>8692</v>
      </c>
      <c r="F138" s="3">
        <v>5100</v>
      </c>
      <c r="G138" s="3" t="s">
        <v>4</v>
      </c>
    </row>
    <row r="139" spans="1:7" x14ac:dyDescent="0.25">
      <c r="A139" s="3" t="s">
        <v>148</v>
      </c>
      <c r="B139" s="8">
        <v>134</v>
      </c>
      <c r="C139" s="3" t="s">
        <v>6</v>
      </c>
      <c r="D139" s="3">
        <v>2</v>
      </c>
      <c r="E139" s="3">
        <v>4783</v>
      </c>
      <c r="F139" s="3">
        <v>4000</v>
      </c>
      <c r="G139" s="3" t="s">
        <v>7</v>
      </c>
    </row>
    <row r="140" spans="1:7" x14ac:dyDescent="0.25">
      <c r="A140" s="3" t="s">
        <v>152</v>
      </c>
      <c r="B140" s="8">
        <v>138</v>
      </c>
      <c r="C140" s="3" t="s">
        <v>6</v>
      </c>
      <c r="D140" s="3">
        <v>4</v>
      </c>
      <c r="E140" s="3">
        <v>6717</v>
      </c>
      <c r="F140" s="3">
        <v>3000</v>
      </c>
      <c r="G140" s="3" t="s">
        <v>45</v>
      </c>
    </row>
    <row r="141" spans="1:7" x14ac:dyDescent="0.25">
      <c r="A141" s="3" t="s">
        <v>159</v>
      </c>
      <c r="B141" s="8">
        <v>145</v>
      </c>
      <c r="C141" s="3" t="s">
        <v>6</v>
      </c>
      <c r="D141" s="3">
        <v>3</v>
      </c>
      <c r="E141" s="3">
        <v>19725</v>
      </c>
      <c r="F141" s="3">
        <v>6840</v>
      </c>
      <c r="G141" s="3" t="s">
        <v>34</v>
      </c>
    </row>
    <row r="142" spans="1:7" x14ac:dyDescent="0.25">
      <c r="A142" s="3" t="s">
        <v>162</v>
      </c>
      <c r="B142" s="8">
        <v>148</v>
      </c>
      <c r="C142" s="3" t="s">
        <v>6</v>
      </c>
      <c r="D142" s="3">
        <v>4</v>
      </c>
      <c r="E142" s="3">
        <v>10600</v>
      </c>
      <c r="F142" s="3">
        <v>5000</v>
      </c>
      <c r="G142" s="3" t="s">
        <v>10</v>
      </c>
    </row>
    <row r="143" spans="1:7" x14ac:dyDescent="0.25">
      <c r="A143" s="3" t="s">
        <v>163</v>
      </c>
      <c r="B143" s="8">
        <v>149</v>
      </c>
      <c r="C143" s="3" t="s">
        <v>6</v>
      </c>
      <c r="D143" s="3">
        <v>3</v>
      </c>
      <c r="E143" s="3">
        <v>7092</v>
      </c>
      <c r="F143" s="3">
        <v>3500</v>
      </c>
      <c r="G143" s="3" t="s">
        <v>10</v>
      </c>
    </row>
    <row r="144" spans="1:7" x14ac:dyDescent="0.25">
      <c r="A144" s="3" t="s">
        <v>166</v>
      </c>
      <c r="B144" s="8">
        <v>152</v>
      </c>
      <c r="C144" s="3" t="s">
        <v>6</v>
      </c>
      <c r="D144" s="3">
        <v>3</v>
      </c>
      <c r="E144" s="3">
        <v>10167</v>
      </c>
      <c r="F144" s="3">
        <v>12000</v>
      </c>
      <c r="G144" s="3" t="s">
        <v>14</v>
      </c>
    </row>
    <row r="145" spans="1:7" x14ac:dyDescent="0.25">
      <c r="A145" s="3" t="s">
        <v>169</v>
      </c>
      <c r="B145" s="8">
        <v>155</v>
      </c>
      <c r="C145" s="3" t="s">
        <v>6</v>
      </c>
      <c r="D145" s="3">
        <v>3</v>
      </c>
      <c r="E145" s="3">
        <v>35417</v>
      </c>
      <c r="F145" s="3">
        <v>25000</v>
      </c>
      <c r="G145" s="3" t="s">
        <v>45</v>
      </c>
    </row>
    <row r="146" spans="1:7" x14ac:dyDescent="0.25">
      <c r="A146" s="3" t="s">
        <v>172</v>
      </c>
      <c r="B146" s="8">
        <v>158</v>
      </c>
      <c r="C146" s="3" t="s">
        <v>6</v>
      </c>
      <c r="D146" s="3">
        <v>4</v>
      </c>
      <c r="E146" s="3">
        <v>8625</v>
      </c>
      <c r="F146" s="3">
        <v>7500</v>
      </c>
      <c r="G146" s="3" t="s">
        <v>14</v>
      </c>
    </row>
    <row r="147" spans="1:7" x14ac:dyDescent="0.25">
      <c r="A147" s="3" t="s">
        <v>174</v>
      </c>
      <c r="B147" s="8">
        <v>160</v>
      </c>
      <c r="C147" s="3" t="s">
        <v>6</v>
      </c>
      <c r="D147" s="3">
        <v>4</v>
      </c>
      <c r="E147" s="3">
        <v>10067</v>
      </c>
      <c r="F147" s="3">
        <v>5000</v>
      </c>
      <c r="G147" s="3" t="s">
        <v>10</v>
      </c>
    </row>
    <row r="148" spans="1:7" x14ac:dyDescent="0.25">
      <c r="A148" s="3" t="s">
        <v>175</v>
      </c>
      <c r="B148" s="8">
        <v>161</v>
      </c>
      <c r="C148" s="3" t="s">
        <v>6</v>
      </c>
      <c r="D148" s="3">
        <v>7</v>
      </c>
      <c r="E148" s="3">
        <v>34840</v>
      </c>
      <c r="F148" s="3">
        <v>11230</v>
      </c>
      <c r="G148" s="3" t="s">
        <v>4</v>
      </c>
    </row>
    <row r="149" spans="1:7" x14ac:dyDescent="0.25">
      <c r="A149" s="3" t="s">
        <v>180</v>
      </c>
      <c r="B149" s="8">
        <v>166</v>
      </c>
      <c r="C149" s="3" t="s">
        <v>6</v>
      </c>
      <c r="D149" s="3">
        <v>2</v>
      </c>
      <c r="E149" s="3">
        <v>5215</v>
      </c>
      <c r="F149" s="3">
        <v>5000</v>
      </c>
      <c r="G149" s="3" t="s">
        <v>45</v>
      </c>
    </row>
    <row r="150" spans="1:7" x14ac:dyDescent="0.25">
      <c r="A150" s="3" t="s">
        <v>181</v>
      </c>
      <c r="B150" s="8">
        <v>167</v>
      </c>
      <c r="C150" s="3" t="s">
        <v>6</v>
      </c>
      <c r="D150" s="3">
        <v>5</v>
      </c>
      <c r="E150" s="3">
        <v>13048</v>
      </c>
      <c r="F150" s="3">
        <v>18300</v>
      </c>
      <c r="G150" s="3" t="s">
        <v>7</v>
      </c>
    </row>
    <row r="151" spans="1:7" x14ac:dyDescent="0.25">
      <c r="A151" s="3" t="s">
        <v>182</v>
      </c>
      <c r="B151" s="8">
        <v>168</v>
      </c>
      <c r="C151" s="3" t="s">
        <v>6</v>
      </c>
      <c r="D151" s="3">
        <v>3</v>
      </c>
      <c r="E151" s="3">
        <v>19577</v>
      </c>
      <c r="F151" s="3">
        <v>17550</v>
      </c>
      <c r="G151" s="3" t="s">
        <v>45</v>
      </c>
    </row>
    <row r="152" spans="1:7" x14ac:dyDescent="0.25">
      <c r="A152" s="3" t="s">
        <v>185</v>
      </c>
      <c r="B152" s="8">
        <v>171</v>
      </c>
      <c r="C152" s="3" t="s">
        <v>6</v>
      </c>
      <c r="D152" s="3">
        <v>4</v>
      </c>
      <c r="E152" s="3">
        <v>10267</v>
      </c>
      <c r="F152" s="3">
        <v>9000</v>
      </c>
      <c r="G152" s="3" t="s">
        <v>10</v>
      </c>
    </row>
    <row r="153" spans="1:7" x14ac:dyDescent="0.25">
      <c r="A153" s="3" t="s">
        <v>193</v>
      </c>
      <c r="B153" s="8">
        <v>179</v>
      </c>
      <c r="C153" s="3" t="s">
        <v>6</v>
      </c>
      <c r="D153" s="3">
        <v>1</v>
      </c>
      <c r="E153" s="3">
        <v>20467</v>
      </c>
      <c r="F153" s="3">
        <v>2000</v>
      </c>
      <c r="G153" s="3" t="s">
        <v>42</v>
      </c>
    </row>
    <row r="154" spans="1:7" x14ac:dyDescent="0.25">
      <c r="A154" s="3" t="s">
        <v>203</v>
      </c>
      <c r="B154" s="8">
        <v>189</v>
      </c>
      <c r="C154" s="3" t="s">
        <v>6</v>
      </c>
      <c r="D154" s="3">
        <v>7</v>
      </c>
      <c r="E154" s="3">
        <v>13333</v>
      </c>
      <c r="F154" s="3">
        <v>12000</v>
      </c>
      <c r="G154" s="3" t="s">
        <v>4</v>
      </c>
    </row>
    <row r="155" spans="1:7" x14ac:dyDescent="0.25">
      <c r="A155" s="3" t="s">
        <v>204</v>
      </c>
      <c r="B155" s="8">
        <v>190</v>
      </c>
      <c r="C155" s="3" t="s">
        <v>6</v>
      </c>
      <c r="D155" s="3">
        <v>3</v>
      </c>
      <c r="E155" s="3">
        <v>5436</v>
      </c>
      <c r="F155" s="3">
        <v>4730</v>
      </c>
      <c r="G155" s="3" t="s">
        <v>4</v>
      </c>
    </row>
    <row r="156" spans="1:7" x14ac:dyDescent="0.25">
      <c r="A156" s="3" t="s">
        <v>207</v>
      </c>
      <c r="B156" s="8">
        <v>193</v>
      </c>
      <c r="C156" s="3" t="s">
        <v>6</v>
      </c>
      <c r="D156" s="3">
        <v>3</v>
      </c>
      <c r="E156" s="3">
        <v>21883</v>
      </c>
      <c r="F156" s="3">
        <v>5000</v>
      </c>
      <c r="G156" s="3" t="s">
        <v>45</v>
      </c>
    </row>
    <row r="157" spans="1:7" x14ac:dyDescent="0.25">
      <c r="A157" s="3" t="s">
        <v>217</v>
      </c>
      <c r="B157" s="8">
        <v>203</v>
      </c>
      <c r="C157" s="3" t="s">
        <v>6</v>
      </c>
      <c r="D157" s="3">
        <v>4</v>
      </c>
      <c r="E157" s="3">
        <v>5742</v>
      </c>
      <c r="F157" s="3">
        <v>6200</v>
      </c>
      <c r="G157" s="3" t="s">
        <v>7</v>
      </c>
    </row>
    <row r="158" spans="1:7" x14ac:dyDescent="0.25">
      <c r="A158" s="3" t="s">
        <v>219</v>
      </c>
      <c r="B158" s="8">
        <v>205</v>
      </c>
      <c r="C158" s="3" t="s">
        <v>6</v>
      </c>
      <c r="D158" s="3">
        <v>4</v>
      </c>
      <c r="E158" s="3">
        <v>12158</v>
      </c>
      <c r="F158" s="3">
        <v>6600</v>
      </c>
      <c r="G158" s="3" t="s">
        <v>7</v>
      </c>
    </row>
    <row r="159" spans="1:7" x14ac:dyDescent="0.25">
      <c r="A159" s="3" t="s">
        <v>220</v>
      </c>
      <c r="B159" s="8">
        <v>206</v>
      </c>
      <c r="C159" s="3" t="s">
        <v>6</v>
      </c>
      <c r="D159" s="3">
        <v>1</v>
      </c>
      <c r="E159" s="3">
        <v>3625</v>
      </c>
      <c r="F159" s="3">
        <v>1500</v>
      </c>
      <c r="G159" s="3" t="s">
        <v>42</v>
      </c>
    </row>
    <row r="160" spans="1:7" x14ac:dyDescent="0.25">
      <c r="A160" s="3" t="s">
        <v>222</v>
      </c>
      <c r="B160" s="8">
        <v>208</v>
      </c>
      <c r="C160" s="3" t="s">
        <v>6</v>
      </c>
      <c r="D160" s="3">
        <v>8</v>
      </c>
      <c r="E160" s="3">
        <v>10800</v>
      </c>
      <c r="F160" s="3">
        <v>15000</v>
      </c>
      <c r="G160" s="3" t="s">
        <v>14</v>
      </c>
    </row>
    <row r="161" spans="1:7" x14ac:dyDescent="0.25">
      <c r="A161" s="3" t="s">
        <v>223</v>
      </c>
      <c r="B161" s="8">
        <v>209</v>
      </c>
      <c r="C161" s="3" t="s">
        <v>6</v>
      </c>
      <c r="D161" s="3">
        <v>2</v>
      </c>
      <c r="E161" s="3">
        <v>9467</v>
      </c>
      <c r="F161" s="3">
        <v>2000</v>
      </c>
      <c r="G161" s="3" t="s">
        <v>34</v>
      </c>
    </row>
    <row r="162" spans="1:7" x14ac:dyDescent="0.25">
      <c r="A162" s="3" t="s">
        <v>226</v>
      </c>
      <c r="B162" s="8">
        <v>212</v>
      </c>
      <c r="C162" s="3" t="s">
        <v>6</v>
      </c>
      <c r="D162" s="3">
        <v>4</v>
      </c>
      <c r="E162" s="3">
        <v>20243</v>
      </c>
      <c r="F162" s="3">
        <v>10000</v>
      </c>
      <c r="G162" s="3" t="s">
        <v>4</v>
      </c>
    </row>
    <row r="163" spans="1:7" x14ac:dyDescent="0.25">
      <c r="A163" s="3" t="s">
        <v>228</v>
      </c>
      <c r="B163" s="8">
        <v>214</v>
      </c>
      <c r="C163" s="3" t="s">
        <v>6</v>
      </c>
      <c r="D163" s="3">
        <v>8</v>
      </c>
      <c r="E163" s="3">
        <v>26083</v>
      </c>
      <c r="F163" s="3">
        <v>40000</v>
      </c>
      <c r="G163" s="3" t="s">
        <v>45</v>
      </c>
    </row>
    <row r="164" spans="1:7" x14ac:dyDescent="0.25">
      <c r="A164" s="3" t="s">
        <v>231</v>
      </c>
      <c r="B164" s="8">
        <v>217</v>
      </c>
      <c r="C164" s="3" t="s">
        <v>6</v>
      </c>
      <c r="D164" s="3">
        <v>4</v>
      </c>
      <c r="E164" s="3">
        <v>9050</v>
      </c>
      <c r="F164" s="3">
        <v>7000</v>
      </c>
      <c r="G164" s="3" t="s">
        <v>14</v>
      </c>
    </row>
    <row r="165" spans="1:7" x14ac:dyDescent="0.25">
      <c r="A165" s="3" t="s">
        <v>232</v>
      </c>
      <c r="B165" s="8">
        <v>218</v>
      </c>
      <c r="C165" s="3" t="s">
        <v>6</v>
      </c>
      <c r="D165" s="3">
        <v>5</v>
      </c>
      <c r="E165" s="3">
        <v>7792</v>
      </c>
      <c r="F165" s="3">
        <v>10500</v>
      </c>
      <c r="G165" s="3" t="s">
        <v>10</v>
      </c>
    </row>
    <row r="166" spans="1:7" x14ac:dyDescent="0.25">
      <c r="A166" s="3" t="s">
        <v>233</v>
      </c>
      <c r="B166" s="8">
        <v>219</v>
      </c>
      <c r="C166" s="3" t="s">
        <v>6</v>
      </c>
      <c r="D166" s="3">
        <v>6</v>
      </c>
      <c r="E166" s="3">
        <v>19008</v>
      </c>
      <c r="F166" s="3">
        <v>9000</v>
      </c>
      <c r="G166" s="3" t="s">
        <v>14</v>
      </c>
    </row>
    <row r="167" spans="1:7" x14ac:dyDescent="0.25">
      <c r="A167" s="3" t="s">
        <v>235</v>
      </c>
      <c r="B167" s="8">
        <v>221</v>
      </c>
      <c r="C167" s="3" t="s">
        <v>6</v>
      </c>
      <c r="D167" s="3">
        <v>3</v>
      </c>
      <c r="E167" s="3">
        <v>19092</v>
      </c>
      <c r="F167" s="3">
        <v>13500</v>
      </c>
      <c r="G167" s="3" t="s">
        <v>10</v>
      </c>
    </row>
    <row r="168" spans="1:7" x14ac:dyDescent="0.25">
      <c r="A168" s="3" t="s">
        <v>236</v>
      </c>
      <c r="B168" s="8">
        <v>222</v>
      </c>
      <c r="C168" s="3" t="s">
        <v>6</v>
      </c>
      <c r="D168" s="3">
        <v>10</v>
      </c>
      <c r="E168" s="3">
        <v>13038</v>
      </c>
      <c r="F168" s="3">
        <v>26500</v>
      </c>
      <c r="G168" s="3" t="s">
        <v>4</v>
      </c>
    </row>
    <row r="169" spans="1:7" x14ac:dyDescent="0.25">
      <c r="A169" s="3" t="s">
        <v>238</v>
      </c>
      <c r="B169" s="8">
        <v>224</v>
      </c>
      <c r="C169" s="3" t="s">
        <v>6</v>
      </c>
      <c r="D169" s="3">
        <v>6</v>
      </c>
      <c r="E169" s="3">
        <v>17667</v>
      </c>
      <c r="F169" s="3">
        <v>12000</v>
      </c>
      <c r="G169" s="3" t="s">
        <v>4</v>
      </c>
    </row>
    <row r="170" spans="1:7" x14ac:dyDescent="0.25">
      <c r="A170" s="3" t="s">
        <v>242</v>
      </c>
      <c r="B170" s="8">
        <v>228</v>
      </c>
      <c r="C170" s="3" t="s">
        <v>6</v>
      </c>
      <c r="D170" s="3">
        <v>5</v>
      </c>
      <c r="E170" s="3">
        <v>19558</v>
      </c>
      <c r="F170" s="3">
        <v>8500</v>
      </c>
      <c r="G170" s="3" t="s">
        <v>4</v>
      </c>
    </row>
    <row r="171" spans="1:7" x14ac:dyDescent="0.25">
      <c r="A171" s="3" t="s">
        <v>244</v>
      </c>
      <c r="B171" s="8">
        <v>230</v>
      </c>
      <c r="C171" s="3" t="s">
        <v>6</v>
      </c>
      <c r="D171" s="3">
        <v>4</v>
      </c>
      <c r="E171" s="3">
        <v>8150</v>
      </c>
      <c r="F171" s="3">
        <v>7000</v>
      </c>
      <c r="G171" s="3" t="s">
        <v>7</v>
      </c>
    </row>
    <row r="172" spans="1:7" x14ac:dyDescent="0.25">
      <c r="A172" s="3" t="s">
        <v>245</v>
      </c>
      <c r="B172" s="8">
        <v>231</v>
      </c>
      <c r="C172" s="3" t="s">
        <v>6</v>
      </c>
      <c r="D172" s="3">
        <v>2</v>
      </c>
      <c r="E172" s="3">
        <v>10492</v>
      </c>
      <c r="F172" s="3">
        <v>6500</v>
      </c>
      <c r="G172" s="3" t="s">
        <v>4</v>
      </c>
    </row>
    <row r="173" spans="1:7" x14ac:dyDescent="0.25">
      <c r="A173" s="3" t="s">
        <v>246</v>
      </c>
      <c r="B173" s="8">
        <v>232</v>
      </c>
      <c r="C173" s="3" t="s">
        <v>6</v>
      </c>
      <c r="D173" s="3">
        <v>4</v>
      </c>
      <c r="E173" s="3">
        <v>11083</v>
      </c>
      <c r="F173" s="3">
        <v>7000</v>
      </c>
      <c r="G173" s="3" t="s">
        <v>34</v>
      </c>
    </row>
    <row r="174" spans="1:7" x14ac:dyDescent="0.25">
      <c r="A174" s="3" t="s">
        <v>249</v>
      </c>
      <c r="B174" s="8">
        <v>235</v>
      </c>
      <c r="C174" s="3" t="s">
        <v>6</v>
      </c>
      <c r="D174" s="3">
        <v>4</v>
      </c>
      <c r="E174" s="3">
        <v>10058</v>
      </c>
      <c r="F174" s="3">
        <v>7250</v>
      </c>
      <c r="G174" s="3" t="s">
        <v>10</v>
      </c>
    </row>
    <row r="175" spans="1:7" x14ac:dyDescent="0.25">
      <c r="A175" s="3" t="s">
        <v>252</v>
      </c>
      <c r="B175" s="8">
        <v>238</v>
      </c>
      <c r="C175" s="3" t="s">
        <v>6</v>
      </c>
      <c r="D175" s="3">
        <v>4</v>
      </c>
      <c r="E175" s="3">
        <v>12792</v>
      </c>
      <c r="F175" s="3">
        <v>6000</v>
      </c>
      <c r="G175" s="3" t="s">
        <v>14</v>
      </c>
    </row>
    <row r="176" spans="1:7" x14ac:dyDescent="0.25">
      <c r="A176" s="3" t="s">
        <v>255</v>
      </c>
      <c r="B176" s="8">
        <v>241</v>
      </c>
      <c r="C176" s="3" t="s">
        <v>6</v>
      </c>
      <c r="D176" s="3">
        <v>4</v>
      </c>
      <c r="E176" s="3">
        <v>11271</v>
      </c>
      <c r="F176" s="3">
        <v>14500</v>
      </c>
      <c r="G176" s="3" t="s">
        <v>14</v>
      </c>
    </row>
    <row r="177" spans="1:7" x14ac:dyDescent="0.25">
      <c r="A177" s="3" t="s">
        <v>258</v>
      </c>
      <c r="B177" s="8">
        <v>244</v>
      </c>
      <c r="C177" s="3" t="s">
        <v>6</v>
      </c>
      <c r="D177" s="3">
        <v>4</v>
      </c>
      <c r="E177" s="3">
        <v>14883</v>
      </c>
      <c r="F177" s="3">
        <v>5000</v>
      </c>
      <c r="G177" s="3" t="s">
        <v>4</v>
      </c>
    </row>
    <row r="178" spans="1:7" x14ac:dyDescent="0.25">
      <c r="A178" s="3" t="s">
        <v>264</v>
      </c>
      <c r="B178" s="8">
        <v>250</v>
      </c>
      <c r="C178" s="3" t="s">
        <v>6</v>
      </c>
      <c r="D178" s="3">
        <v>2</v>
      </c>
      <c r="E178" s="3">
        <v>6317</v>
      </c>
      <c r="F178" s="3">
        <v>1800</v>
      </c>
      <c r="G178" s="3" t="s">
        <v>18</v>
      </c>
    </row>
    <row r="179" spans="1:7" x14ac:dyDescent="0.25">
      <c r="A179" s="3" t="s">
        <v>267</v>
      </c>
      <c r="B179" s="8">
        <v>253</v>
      </c>
      <c r="C179" s="3" t="s">
        <v>6</v>
      </c>
      <c r="D179" s="3">
        <v>4</v>
      </c>
      <c r="E179" s="3">
        <v>8633</v>
      </c>
      <c r="F179" s="3">
        <v>8750</v>
      </c>
      <c r="G179" s="3" t="s">
        <v>10</v>
      </c>
    </row>
    <row r="180" spans="1:7" x14ac:dyDescent="0.25">
      <c r="A180" s="3" t="s">
        <v>2</v>
      </c>
      <c r="B180" s="8">
        <v>1</v>
      </c>
      <c r="C180" s="3" t="s">
        <v>3</v>
      </c>
      <c r="D180" s="3">
        <v>1</v>
      </c>
      <c r="E180" s="3">
        <v>6721</v>
      </c>
      <c r="F180" s="3">
        <v>20000</v>
      </c>
      <c r="G180" s="3" t="s">
        <v>4</v>
      </c>
    </row>
    <row r="181" spans="1:7" x14ac:dyDescent="0.25">
      <c r="A181" s="3" t="s">
        <v>8</v>
      </c>
      <c r="B181" s="8">
        <v>3</v>
      </c>
      <c r="C181" s="3" t="s">
        <v>3</v>
      </c>
      <c r="D181" s="3">
        <v>4</v>
      </c>
      <c r="E181" s="3">
        <v>17292</v>
      </c>
      <c r="F181" s="3">
        <v>25000</v>
      </c>
      <c r="G181" s="3" t="s">
        <v>4</v>
      </c>
    </row>
    <row r="182" spans="1:7" x14ac:dyDescent="0.25">
      <c r="A182" s="3" t="s">
        <v>11</v>
      </c>
      <c r="B182" s="8">
        <v>5</v>
      </c>
      <c r="C182" s="3" t="s">
        <v>3</v>
      </c>
      <c r="D182" s="3">
        <v>2</v>
      </c>
      <c r="E182" s="3">
        <v>38792</v>
      </c>
      <c r="F182" s="3">
        <v>15000</v>
      </c>
      <c r="G182" s="3" t="s">
        <v>4</v>
      </c>
    </row>
    <row r="183" spans="1:7" x14ac:dyDescent="0.25">
      <c r="A183" s="3" t="s">
        <v>15</v>
      </c>
      <c r="B183" s="8">
        <v>7</v>
      </c>
      <c r="C183" s="3" t="s">
        <v>3</v>
      </c>
      <c r="D183" s="3">
        <v>5</v>
      </c>
      <c r="E183" s="3">
        <v>11550</v>
      </c>
      <c r="F183" s="3">
        <v>15000</v>
      </c>
      <c r="G183" s="3" t="s">
        <v>10</v>
      </c>
    </row>
    <row r="184" spans="1:7" x14ac:dyDescent="0.25">
      <c r="A184" s="3" t="s">
        <v>33</v>
      </c>
      <c r="B184" s="8">
        <v>22</v>
      </c>
      <c r="C184" s="3" t="s">
        <v>3</v>
      </c>
      <c r="D184" s="3">
        <v>4</v>
      </c>
      <c r="E184" s="3">
        <v>15450</v>
      </c>
      <c r="F184" s="3">
        <v>9000</v>
      </c>
      <c r="G184" s="3" t="s">
        <v>34</v>
      </c>
    </row>
    <row r="185" spans="1:7" x14ac:dyDescent="0.25">
      <c r="A185" s="3" t="s">
        <v>39</v>
      </c>
      <c r="B185" s="8">
        <v>27</v>
      </c>
      <c r="C185" s="3" t="s">
        <v>3</v>
      </c>
      <c r="D185" s="3">
        <v>4</v>
      </c>
      <c r="E185" s="3">
        <v>7750</v>
      </c>
      <c r="F185" s="3">
        <v>15000</v>
      </c>
      <c r="G185" s="3" t="s">
        <v>7</v>
      </c>
    </row>
    <row r="186" spans="1:7" x14ac:dyDescent="0.25">
      <c r="A186" s="3" t="s">
        <v>41</v>
      </c>
      <c r="B186" s="8">
        <v>29</v>
      </c>
      <c r="C186" s="3" t="s">
        <v>3</v>
      </c>
      <c r="D186" s="3">
        <v>1</v>
      </c>
      <c r="E186" s="3">
        <v>8272</v>
      </c>
      <c r="F186" s="3">
        <v>4500</v>
      </c>
      <c r="G186" s="3" t="s">
        <v>42</v>
      </c>
    </row>
    <row r="187" spans="1:7" x14ac:dyDescent="0.25">
      <c r="A187" s="3" t="s">
        <v>47</v>
      </c>
      <c r="B187" s="8">
        <v>33</v>
      </c>
      <c r="C187" s="3" t="s">
        <v>3</v>
      </c>
      <c r="D187" s="3">
        <v>5</v>
      </c>
      <c r="E187" s="3">
        <v>13333</v>
      </c>
      <c r="F187" s="3">
        <v>3000</v>
      </c>
      <c r="G187" s="3" t="s">
        <v>10</v>
      </c>
    </row>
    <row r="188" spans="1:7" x14ac:dyDescent="0.25">
      <c r="A188" s="3" t="s">
        <v>48</v>
      </c>
      <c r="B188" s="8">
        <v>34</v>
      </c>
      <c r="C188" s="3" t="s">
        <v>3</v>
      </c>
      <c r="D188" s="3">
        <v>2</v>
      </c>
      <c r="E188" s="3">
        <v>28303</v>
      </c>
      <c r="F188" s="3">
        <v>45000</v>
      </c>
      <c r="G188" s="3" t="s">
        <v>45</v>
      </c>
    </row>
    <row r="189" spans="1:7" x14ac:dyDescent="0.25">
      <c r="A189" s="3" t="s">
        <v>53</v>
      </c>
      <c r="B189" s="8">
        <v>39</v>
      </c>
      <c r="C189" s="3" t="s">
        <v>3</v>
      </c>
      <c r="D189" s="3">
        <v>1</v>
      </c>
      <c r="E189" s="3">
        <v>6833</v>
      </c>
      <c r="F189" s="3">
        <v>3000</v>
      </c>
      <c r="G189" s="3" t="s">
        <v>14</v>
      </c>
    </row>
    <row r="190" spans="1:7" x14ac:dyDescent="0.25">
      <c r="A190" s="3" t="s">
        <v>61</v>
      </c>
      <c r="B190" s="8">
        <v>47</v>
      </c>
      <c r="C190" s="3" t="s">
        <v>3</v>
      </c>
      <c r="D190" s="3">
        <v>2</v>
      </c>
      <c r="E190" s="3">
        <v>5000</v>
      </c>
      <c r="F190" s="3">
        <v>5000</v>
      </c>
      <c r="G190" s="3" t="s">
        <v>20</v>
      </c>
    </row>
    <row r="191" spans="1:7" x14ac:dyDescent="0.25">
      <c r="A191" s="3" t="s">
        <v>64</v>
      </c>
      <c r="B191" s="8">
        <v>50</v>
      </c>
      <c r="C191" s="3" t="s">
        <v>3</v>
      </c>
      <c r="D191" s="3">
        <v>2</v>
      </c>
      <c r="E191" s="3">
        <v>12000</v>
      </c>
      <c r="F191" s="3">
        <v>10000</v>
      </c>
      <c r="G191" s="3" t="s">
        <v>4</v>
      </c>
    </row>
    <row r="192" spans="1:7" x14ac:dyDescent="0.25">
      <c r="A192" s="3" t="s">
        <v>65</v>
      </c>
      <c r="B192" s="8">
        <v>51</v>
      </c>
      <c r="C192" s="3" t="s">
        <v>3</v>
      </c>
      <c r="D192" s="3">
        <v>2</v>
      </c>
      <c r="E192" s="3">
        <v>3133</v>
      </c>
      <c r="F192" s="3">
        <v>4000</v>
      </c>
      <c r="G192" s="3" t="s">
        <v>20</v>
      </c>
    </row>
    <row r="193" spans="1:7" x14ac:dyDescent="0.25">
      <c r="A193" s="3" t="s">
        <v>71</v>
      </c>
      <c r="B193" s="8">
        <v>57</v>
      </c>
      <c r="C193" s="3" t="s">
        <v>3</v>
      </c>
      <c r="D193" s="3">
        <v>4</v>
      </c>
      <c r="E193" s="3">
        <v>11653</v>
      </c>
      <c r="F193" s="3">
        <v>10000</v>
      </c>
      <c r="G193" s="3" t="s">
        <v>7</v>
      </c>
    </row>
    <row r="194" spans="1:7" x14ac:dyDescent="0.25">
      <c r="A194" s="3" t="s">
        <v>72</v>
      </c>
      <c r="B194" s="8">
        <v>58</v>
      </c>
      <c r="C194" s="3" t="s">
        <v>3</v>
      </c>
      <c r="D194" s="3">
        <v>4</v>
      </c>
      <c r="E194" s="3">
        <v>13425</v>
      </c>
      <c r="F194" s="3">
        <v>18600</v>
      </c>
      <c r="G194" s="3" t="s">
        <v>45</v>
      </c>
    </row>
    <row r="195" spans="1:7" x14ac:dyDescent="0.25">
      <c r="A195" s="3" t="s">
        <v>75</v>
      </c>
      <c r="B195" s="8">
        <v>61</v>
      </c>
      <c r="C195" s="3" t="s">
        <v>3</v>
      </c>
      <c r="D195" s="3">
        <v>7</v>
      </c>
      <c r="E195" s="3">
        <v>13850</v>
      </c>
      <c r="F195" s="3">
        <v>20000</v>
      </c>
      <c r="G195" s="3" t="s">
        <v>14</v>
      </c>
    </row>
    <row r="196" spans="1:7" x14ac:dyDescent="0.25">
      <c r="A196" s="3" t="s">
        <v>80</v>
      </c>
      <c r="B196" s="8">
        <v>66</v>
      </c>
      <c r="C196" s="3" t="s">
        <v>3</v>
      </c>
      <c r="D196" s="3">
        <v>6</v>
      </c>
      <c r="E196" s="3">
        <v>31750</v>
      </c>
      <c r="F196" s="3">
        <v>30000</v>
      </c>
      <c r="G196" s="3" t="s">
        <v>4</v>
      </c>
    </row>
    <row r="197" spans="1:7" x14ac:dyDescent="0.25">
      <c r="A197" s="3" t="s">
        <v>81</v>
      </c>
      <c r="B197" s="8">
        <v>67</v>
      </c>
      <c r="C197" s="3" t="s">
        <v>3</v>
      </c>
      <c r="D197" s="3">
        <v>7</v>
      </c>
      <c r="E197" s="3">
        <v>8417</v>
      </c>
      <c r="F197" s="3">
        <v>12000</v>
      </c>
      <c r="G197" s="3" t="s">
        <v>14</v>
      </c>
    </row>
    <row r="198" spans="1:7" x14ac:dyDescent="0.25">
      <c r="A198" s="3" t="s">
        <v>85</v>
      </c>
      <c r="B198" s="8">
        <v>71</v>
      </c>
      <c r="C198" s="3" t="s">
        <v>3</v>
      </c>
      <c r="D198" s="3">
        <v>5</v>
      </c>
      <c r="E198" s="3">
        <v>9250</v>
      </c>
      <c r="F198" s="3">
        <v>16000</v>
      </c>
      <c r="G198" s="3" t="s">
        <v>7</v>
      </c>
    </row>
    <row r="199" spans="1:7" x14ac:dyDescent="0.25">
      <c r="A199" s="3" t="s">
        <v>86</v>
      </c>
      <c r="B199" s="8">
        <v>72</v>
      </c>
      <c r="C199" s="3" t="s">
        <v>3</v>
      </c>
      <c r="D199" s="3">
        <v>2</v>
      </c>
      <c r="E199" s="3">
        <v>17237</v>
      </c>
      <c r="F199" s="3">
        <v>7540</v>
      </c>
      <c r="G199" s="3" t="s">
        <v>45</v>
      </c>
    </row>
    <row r="200" spans="1:7" x14ac:dyDescent="0.25">
      <c r="A200" s="3" t="s">
        <v>98</v>
      </c>
      <c r="B200" s="8">
        <v>84</v>
      </c>
      <c r="C200" s="3" t="s">
        <v>3</v>
      </c>
      <c r="D200" s="3">
        <v>7</v>
      </c>
      <c r="E200" s="3">
        <v>18500</v>
      </c>
      <c r="F200" s="3">
        <v>12000</v>
      </c>
      <c r="G200" s="3" t="s">
        <v>10</v>
      </c>
    </row>
    <row r="201" spans="1:7" x14ac:dyDescent="0.25">
      <c r="A201" s="3" t="s">
        <v>103</v>
      </c>
      <c r="B201" s="8">
        <v>89</v>
      </c>
      <c r="C201" s="3" t="s">
        <v>3</v>
      </c>
      <c r="D201" s="3">
        <v>5</v>
      </c>
      <c r="E201" s="3">
        <v>11333</v>
      </c>
      <c r="F201" s="3">
        <v>9500</v>
      </c>
      <c r="G201" s="3" t="s">
        <v>14</v>
      </c>
    </row>
    <row r="202" spans="1:7" x14ac:dyDescent="0.25">
      <c r="A202" s="3" t="s">
        <v>105</v>
      </c>
      <c r="B202" s="8">
        <v>91</v>
      </c>
      <c r="C202" s="3" t="s">
        <v>3</v>
      </c>
      <c r="D202" s="3">
        <v>2</v>
      </c>
      <c r="E202" s="3">
        <v>6792</v>
      </c>
      <c r="F202" s="3">
        <v>5000</v>
      </c>
      <c r="G202" s="3" t="s">
        <v>14</v>
      </c>
    </row>
    <row r="203" spans="1:7" x14ac:dyDescent="0.25">
      <c r="A203" s="3" t="s">
        <v>107</v>
      </c>
      <c r="B203" s="8">
        <v>93</v>
      </c>
      <c r="C203" s="3" t="s">
        <v>3</v>
      </c>
      <c r="D203" s="3">
        <v>4</v>
      </c>
      <c r="E203" s="3">
        <v>12017</v>
      </c>
      <c r="F203" s="3">
        <v>3500</v>
      </c>
      <c r="G203" s="3" t="s">
        <v>4</v>
      </c>
    </row>
    <row r="204" spans="1:7" x14ac:dyDescent="0.25">
      <c r="A204" s="3" t="s">
        <v>110</v>
      </c>
      <c r="B204" s="8">
        <v>96</v>
      </c>
      <c r="C204" s="3" t="s">
        <v>3</v>
      </c>
      <c r="D204" s="3">
        <v>4</v>
      </c>
      <c r="E204" s="3">
        <v>7817</v>
      </c>
      <c r="F204" s="3">
        <v>5600</v>
      </c>
      <c r="G204" s="3" t="s">
        <v>45</v>
      </c>
    </row>
    <row r="205" spans="1:7" x14ac:dyDescent="0.25">
      <c r="A205" s="3" t="s">
        <v>112</v>
      </c>
      <c r="B205" s="8">
        <v>98</v>
      </c>
      <c r="C205" s="3" t="s">
        <v>3</v>
      </c>
      <c r="D205" s="3">
        <v>3</v>
      </c>
      <c r="E205" s="3">
        <v>7175</v>
      </c>
      <c r="F205" s="3">
        <v>4500</v>
      </c>
      <c r="G205" s="3" t="s">
        <v>10</v>
      </c>
    </row>
    <row r="206" spans="1:7" x14ac:dyDescent="0.25">
      <c r="A206" s="3" t="s">
        <v>114</v>
      </c>
      <c r="B206" s="8">
        <v>100</v>
      </c>
      <c r="C206" s="3" t="s">
        <v>3</v>
      </c>
      <c r="D206" s="3">
        <v>4</v>
      </c>
      <c r="E206" s="3">
        <v>12992</v>
      </c>
      <c r="F206" s="3">
        <v>10500</v>
      </c>
      <c r="G206" s="3" t="s">
        <v>4</v>
      </c>
    </row>
    <row r="207" spans="1:7" x14ac:dyDescent="0.25">
      <c r="A207" s="3" t="s">
        <v>127</v>
      </c>
      <c r="B207" s="8">
        <v>113</v>
      </c>
      <c r="C207" s="3" t="s">
        <v>3</v>
      </c>
      <c r="D207" s="3">
        <v>5</v>
      </c>
      <c r="E207" s="3">
        <v>6100</v>
      </c>
      <c r="F207" s="3">
        <v>5000</v>
      </c>
      <c r="G207" s="3" t="s">
        <v>14</v>
      </c>
    </row>
    <row r="208" spans="1:7" x14ac:dyDescent="0.25">
      <c r="A208" s="3" t="s">
        <v>128</v>
      </c>
      <c r="B208" s="8">
        <v>114</v>
      </c>
      <c r="C208" s="3" t="s">
        <v>3</v>
      </c>
      <c r="D208" s="3">
        <v>3</v>
      </c>
      <c r="E208" s="3">
        <v>18942</v>
      </c>
      <c r="F208" s="3">
        <v>28000</v>
      </c>
      <c r="G208" s="3" t="s">
        <v>4</v>
      </c>
    </row>
    <row r="209" spans="1:7" x14ac:dyDescent="0.25">
      <c r="A209" s="3" t="s">
        <v>130</v>
      </c>
      <c r="B209" s="8">
        <v>116</v>
      </c>
      <c r="C209" s="3" t="s">
        <v>3</v>
      </c>
      <c r="D209" s="3">
        <v>3</v>
      </c>
      <c r="E209" s="3">
        <v>8760</v>
      </c>
      <c r="F209" s="3">
        <v>9000</v>
      </c>
      <c r="G209" s="3" t="s">
        <v>14</v>
      </c>
    </row>
    <row r="210" spans="1:7" x14ac:dyDescent="0.25">
      <c r="A210" s="3" t="s">
        <v>132</v>
      </c>
      <c r="B210" s="8">
        <v>118</v>
      </c>
      <c r="C210" s="3" t="s">
        <v>3</v>
      </c>
      <c r="D210" s="3">
        <v>5</v>
      </c>
      <c r="E210" s="3">
        <v>16667</v>
      </c>
      <c r="F210" s="3">
        <v>8500</v>
      </c>
      <c r="G210" s="3" t="s">
        <v>7</v>
      </c>
    </row>
    <row r="211" spans="1:7" x14ac:dyDescent="0.25">
      <c r="A211" s="3" t="s">
        <v>137</v>
      </c>
      <c r="B211" s="8">
        <v>123</v>
      </c>
      <c r="C211" s="3" t="s">
        <v>3</v>
      </c>
      <c r="D211" s="3">
        <v>3</v>
      </c>
      <c r="E211" s="3">
        <v>12050</v>
      </c>
      <c r="F211" s="3">
        <v>4000</v>
      </c>
      <c r="G211" s="3" t="s">
        <v>42</v>
      </c>
    </row>
    <row r="212" spans="1:7" x14ac:dyDescent="0.25">
      <c r="A212" s="3" t="s">
        <v>144</v>
      </c>
      <c r="B212" s="8">
        <v>130</v>
      </c>
      <c r="C212" s="3" t="s">
        <v>3</v>
      </c>
      <c r="D212" s="3">
        <v>3</v>
      </c>
      <c r="E212" s="3">
        <v>9758</v>
      </c>
      <c r="F212" s="3">
        <v>4000</v>
      </c>
      <c r="G212" s="3" t="s">
        <v>7</v>
      </c>
    </row>
    <row r="213" spans="1:7" x14ac:dyDescent="0.25">
      <c r="A213" s="3" t="s">
        <v>149</v>
      </c>
      <c r="B213" s="8">
        <v>135</v>
      </c>
      <c r="C213" s="3" t="s">
        <v>3</v>
      </c>
      <c r="D213" s="3">
        <v>4</v>
      </c>
      <c r="E213" s="3">
        <v>10633</v>
      </c>
      <c r="F213" s="3">
        <v>12000</v>
      </c>
      <c r="G213" s="3" t="s">
        <v>10</v>
      </c>
    </row>
    <row r="214" spans="1:7" x14ac:dyDescent="0.25">
      <c r="A214" s="3" t="s">
        <v>153</v>
      </c>
      <c r="B214" s="8">
        <v>139</v>
      </c>
      <c r="C214" s="3" t="s">
        <v>3</v>
      </c>
      <c r="D214" s="3">
        <v>4</v>
      </c>
      <c r="E214" s="3">
        <v>20833</v>
      </c>
      <c r="F214" s="3">
        <v>10000</v>
      </c>
      <c r="G214" s="3" t="s">
        <v>45</v>
      </c>
    </row>
    <row r="215" spans="1:7" x14ac:dyDescent="0.25">
      <c r="A215" s="3" t="s">
        <v>154</v>
      </c>
      <c r="B215" s="8">
        <v>140</v>
      </c>
      <c r="C215" s="3" t="s">
        <v>3</v>
      </c>
      <c r="D215" s="3">
        <v>3</v>
      </c>
      <c r="E215" s="3">
        <v>6600</v>
      </c>
      <c r="F215" s="3">
        <v>6000</v>
      </c>
      <c r="G215" s="3" t="s">
        <v>4</v>
      </c>
    </row>
    <row r="216" spans="1:7" x14ac:dyDescent="0.25">
      <c r="A216" s="3" t="s">
        <v>160</v>
      </c>
      <c r="B216" s="8">
        <v>146</v>
      </c>
      <c r="C216" s="3" t="s">
        <v>3</v>
      </c>
      <c r="D216" s="3">
        <v>3</v>
      </c>
      <c r="E216" s="3">
        <v>8953</v>
      </c>
      <c r="F216" s="3">
        <v>4600</v>
      </c>
      <c r="G216" s="3" t="s">
        <v>14</v>
      </c>
    </row>
    <row r="217" spans="1:7" x14ac:dyDescent="0.25">
      <c r="A217" s="3" t="s">
        <v>161</v>
      </c>
      <c r="B217" s="8">
        <v>147</v>
      </c>
      <c r="C217" s="3" t="s">
        <v>3</v>
      </c>
      <c r="D217" s="3">
        <v>2</v>
      </c>
      <c r="E217" s="3">
        <v>8167</v>
      </c>
      <c r="F217" s="3">
        <v>12500</v>
      </c>
      <c r="G217" s="3" t="s">
        <v>10</v>
      </c>
    </row>
    <row r="218" spans="1:7" x14ac:dyDescent="0.25">
      <c r="A218" s="3" t="s">
        <v>164</v>
      </c>
      <c r="B218" s="8">
        <v>150</v>
      </c>
      <c r="C218" s="3" t="s">
        <v>3</v>
      </c>
      <c r="D218" s="3">
        <v>3</v>
      </c>
      <c r="E218" s="3">
        <v>14083</v>
      </c>
      <c r="F218" s="3">
        <v>7500</v>
      </c>
      <c r="G218" s="3" t="s">
        <v>4</v>
      </c>
    </row>
    <row r="219" spans="1:7" x14ac:dyDescent="0.25">
      <c r="A219" s="3" t="s">
        <v>167</v>
      </c>
      <c r="B219" s="8">
        <v>153</v>
      </c>
      <c r="C219" s="3" t="s">
        <v>3</v>
      </c>
      <c r="D219" s="3">
        <v>4</v>
      </c>
      <c r="E219" s="3">
        <v>8833</v>
      </c>
      <c r="F219" s="3">
        <v>10000</v>
      </c>
      <c r="G219" s="3" t="s">
        <v>14</v>
      </c>
    </row>
    <row r="220" spans="1:7" x14ac:dyDescent="0.25">
      <c r="A220" s="3" t="s">
        <v>168</v>
      </c>
      <c r="B220" s="8">
        <v>154</v>
      </c>
      <c r="C220" s="3" t="s">
        <v>3</v>
      </c>
      <c r="D220" s="3">
        <v>3</v>
      </c>
      <c r="E220" s="3">
        <v>18383</v>
      </c>
      <c r="F220" s="3">
        <v>17000</v>
      </c>
      <c r="G220" s="3" t="s">
        <v>45</v>
      </c>
    </row>
    <row r="221" spans="1:7" x14ac:dyDescent="0.25">
      <c r="A221" s="3" t="s">
        <v>177</v>
      </c>
      <c r="B221" s="8">
        <v>163</v>
      </c>
      <c r="C221" s="3" t="s">
        <v>3</v>
      </c>
      <c r="D221" s="3">
        <v>4</v>
      </c>
      <c r="E221" s="3">
        <v>11299</v>
      </c>
      <c r="F221" s="3">
        <v>13000</v>
      </c>
      <c r="G221" s="3" t="s">
        <v>10</v>
      </c>
    </row>
    <row r="222" spans="1:7" x14ac:dyDescent="0.25">
      <c r="A222" s="3" t="s">
        <v>179</v>
      </c>
      <c r="B222" s="8">
        <v>165</v>
      </c>
      <c r="C222" s="3" t="s">
        <v>3</v>
      </c>
      <c r="D222" s="3">
        <v>6</v>
      </c>
      <c r="E222" s="3">
        <v>12892</v>
      </c>
      <c r="F222" s="3">
        <v>34600</v>
      </c>
      <c r="G222" s="3" t="s">
        <v>10</v>
      </c>
    </row>
    <row r="223" spans="1:7" x14ac:dyDescent="0.25">
      <c r="A223" s="3" t="s">
        <v>183</v>
      </c>
      <c r="B223" s="8">
        <v>169</v>
      </c>
      <c r="C223" s="3" t="s">
        <v>3</v>
      </c>
      <c r="D223" s="3">
        <v>4</v>
      </c>
      <c r="E223" s="3">
        <v>33983</v>
      </c>
      <c r="F223" s="3">
        <v>25000</v>
      </c>
      <c r="G223" s="3" t="s">
        <v>7</v>
      </c>
    </row>
    <row r="224" spans="1:7" x14ac:dyDescent="0.25">
      <c r="A224" s="3" t="s">
        <v>184</v>
      </c>
      <c r="B224" s="8">
        <v>170</v>
      </c>
      <c r="C224" s="3" t="s">
        <v>3</v>
      </c>
      <c r="D224" s="3">
        <v>4</v>
      </c>
      <c r="E224" s="3">
        <v>10217</v>
      </c>
      <c r="F224" s="3">
        <v>23800</v>
      </c>
      <c r="G224" s="3" t="s">
        <v>14</v>
      </c>
    </row>
    <row r="225" spans="1:7" x14ac:dyDescent="0.25">
      <c r="A225" s="3" t="s">
        <v>188</v>
      </c>
      <c r="B225" s="8">
        <v>174</v>
      </c>
      <c r="C225" s="3" t="s">
        <v>3</v>
      </c>
      <c r="D225" s="3">
        <v>4</v>
      </c>
      <c r="E225" s="3">
        <v>19583</v>
      </c>
      <c r="F225" s="3">
        <v>4000</v>
      </c>
      <c r="G225" s="3" t="s">
        <v>4</v>
      </c>
    </row>
    <row r="226" spans="1:7" x14ac:dyDescent="0.25">
      <c r="A226" s="3" t="s">
        <v>189</v>
      </c>
      <c r="B226" s="8">
        <v>175</v>
      </c>
      <c r="C226" s="3" t="s">
        <v>3</v>
      </c>
      <c r="D226" s="3">
        <v>4</v>
      </c>
      <c r="E226" s="3">
        <v>6167</v>
      </c>
      <c r="F226" s="3">
        <v>10000</v>
      </c>
      <c r="G226" s="3" t="s">
        <v>10</v>
      </c>
    </row>
    <row r="227" spans="1:7" x14ac:dyDescent="0.25">
      <c r="A227" s="3" t="s">
        <v>190</v>
      </c>
      <c r="B227" s="8">
        <v>176</v>
      </c>
      <c r="C227" s="3" t="s">
        <v>3</v>
      </c>
      <c r="D227" s="3">
        <v>4</v>
      </c>
      <c r="E227" s="3">
        <v>26000</v>
      </c>
      <c r="F227" s="3">
        <v>12000</v>
      </c>
      <c r="G227" s="3" t="s">
        <v>45</v>
      </c>
    </row>
    <row r="228" spans="1:7" x14ac:dyDescent="0.25">
      <c r="A228" s="3" t="s">
        <v>191</v>
      </c>
      <c r="B228" s="8">
        <v>177</v>
      </c>
      <c r="C228" s="3" t="s">
        <v>3</v>
      </c>
      <c r="D228" s="3">
        <v>7</v>
      </c>
      <c r="E228" s="3">
        <v>17033</v>
      </c>
      <c r="F228" s="3">
        <v>45000</v>
      </c>
      <c r="G228" s="3" t="s">
        <v>45</v>
      </c>
    </row>
    <row r="229" spans="1:7" x14ac:dyDescent="0.25">
      <c r="A229" s="3" t="s">
        <v>194</v>
      </c>
      <c r="B229" s="8">
        <v>180</v>
      </c>
      <c r="C229" s="3" t="s">
        <v>3</v>
      </c>
      <c r="D229" s="3">
        <v>1</v>
      </c>
      <c r="E229" s="3">
        <v>3193</v>
      </c>
      <c r="F229" s="3">
        <v>2320</v>
      </c>
      <c r="G229" s="3" t="s">
        <v>42</v>
      </c>
    </row>
    <row r="230" spans="1:7" x14ac:dyDescent="0.25">
      <c r="A230" s="3" t="s">
        <v>195</v>
      </c>
      <c r="B230" s="8">
        <v>181</v>
      </c>
      <c r="C230" s="3" t="s">
        <v>3</v>
      </c>
      <c r="D230" s="3">
        <v>4</v>
      </c>
      <c r="E230" s="3">
        <v>7867</v>
      </c>
      <c r="F230" s="3">
        <v>12000</v>
      </c>
      <c r="G230" s="3" t="s">
        <v>10</v>
      </c>
    </row>
    <row r="231" spans="1:7" x14ac:dyDescent="0.25">
      <c r="A231" s="3" t="s">
        <v>196</v>
      </c>
      <c r="B231" s="8">
        <v>182</v>
      </c>
      <c r="C231" s="3" t="s">
        <v>3</v>
      </c>
      <c r="D231" s="3">
        <v>3</v>
      </c>
      <c r="E231" s="3">
        <v>20463</v>
      </c>
      <c r="F231" s="3">
        <v>10850</v>
      </c>
      <c r="G231" s="3" t="s">
        <v>14</v>
      </c>
    </row>
    <row r="232" spans="1:7" x14ac:dyDescent="0.25">
      <c r="A232" s="3" t="s">
        <v>198</v>
      </c>
      <c r="B232" s="8">
        <v>184</v>
      </c>
      <c r="C232" s="3" t="s">
        <v>3</v>
      </c>
      <c r="D232" s="3">
        <v>6</v>
      </c>
      <c r="E232" s="3">
        <v>19833</v>
      </c>
      <c r="F232" s="3">
        <v>14000</v>
      </c>
      <c r="G232" s="3" t="s">
        <v>10</v>
      </c>
    </row>
    <row r="233" spans="1:7" x14ac:dyDescent="0.25">
      <c r="A233" s="3" t="s">
        <v>199</v>
      </c>
      <c r="B233" s="8">
        <v>185</v>
      </c>
      <c r="C233" s="3" t="s">
        <v>3</v>
      </c>
      <c r="D233" s="3">
        <v>1</v>
      </c>
      <c r="E233" s="3">
        <v>7375</v>
      </c>
      <c r="F233" s="3">
        <v>3500</v>
      </c>
      <c r="G233" s="3" t="s">
        <v>4</v>
      </c>
    </row>
    <row r="234" spans="1:7" x14ac:dyDescent="0.25">
      <c r="A234" s="3" t="s">
        <v>200</v>
      </c>
      <c r="B234" s="8">
        <v>186</v>
      </c>
      <c r="C234" s="3" t="s">
        <v>3</v>
      </c>
      <c r="D234" s="3">
        <v>3</v>
      </c>
      <c r="E234" s="3">
        <v>7201</v>
      </c>
      <c r="F234" s="3">
        <v>5400</v>
      </c>
      <c r="G234" s="3" t="s">
        <v>7</v>
      </c>
    </row>
    <row r="235" spans="1:7" x14ac:dyDescent="0.25">
      <c r="A235" s="3" t="s">
        <v>201</v>
      </c>
      <c r="B235" s="8">
        <v>187</v>
      </c>
      <c r="C235" s="3" t="s">
        <v>3</v>
      </c>
      <c r="D235" s="3">
        <v>1</v>
      </c>
      <c r="E235" s="3">
        <v>20452</v>
      </c>
      <c r="F235" s="3">
        <v>2000</v>
      </c>
      <c r="G235" s="3" t="s">
        <v>42</v>
      </c>
    </row>
    <row r="236" spans="1:7" x14ac:dyDescent="0.25">
      <c r="A236" s="3" t="s">
        <v>205</v>
      </c>
      <c r="B236" s="8">
        <v>191</v>
      </c>
      <c r="C236" s="3" t="s">
        <v>3</v>
      </c>
      <c r="D236" s="3">
        <v>3</v>
      </c>
      <c r="E236" s="3">
        <v>9025</v>
      </c>
      <c r="F236" s="3">
        <v>13500</v>
      </c>
      <c r="G236" s="3" t="s">
        <v>34</v>
      </c>
    </row>
    <row r="237" spans="1:7" x14ac:dyDescent="0.25">
      <c r="A237" s="3" t="s">
        <v>208</v>
      </c>
      <c r="B237" s="8">
        <v>194</v>
      </c>
      <c r="C237" s="3" t="s">
        <v>3</v>
      </c>
      <c r="D237" s="3">
        <v>6</v>
      </c>
      <c r="E237" s="3">
        <v>10567</v>
      </c>
      <c r="F237" s="3">
        <v>5000</v>
      </c>
      <c r="G237" s="3" t="s">
        <v>14</v>
      </c>
    </row>
    <row r="238" spans="1:7" x14ac:dyDescent="0.25">
      <c r="A238" s="3" t="s">
        <v>213</v>
      </c>
      <c r="B238" s="8">
        <v>199</v>
      </c>
      <c r="C238" s="3" t="s">
        <v>3</v>
      </c>
      <c r="D238" s="3">
        <v>6</v>
      </c>
      <c r="E238" s="3">
        <v>11470</v>
      </c>
      <c r="F238" s="3">
        <v>21000</v>
      </c>
      <c r="G238" s="3" t="s">
        <v>4</v>
      </c>
    </row>
    <row r="239" spans="1:7" x14ac:dyDescent="0.25">
      <c r="A239" s="3" t="s">
        <v>214</v>
      </c>
      <c r="B239" s="8">
        <v>200</v>
      </c>
      <c r="C239" s="3" t="s">
        <v>3</v>
      </c>
      <c r="D239" s="3">
        <v>3</v>
      </c>
      <c r="E239" s="3">
        <v>2992</v>
      </c>
      <c r="F239" s="3">
        <v>9500</v>
      </c>
      <c r="G239" s="3" t="s">
        <v>4</v>
      </c>
    </row>
    <row r="240" spans="1:7" x14ac:dyDescent="0.25">
      <c r="A240" s="3" t="s">
        <v>215</v>
      </c>
      <c r="B240" s="8">
        <v>201</v>
      </c>
      <c r="C240" s="3" t="s">
        <v>3</v>
      </c>
      <c r="D240" s="3">
        <v>1</v>
      </c>
      <c r="E240" s="3">
        <v>15667</v>
      </c>
      <c r="F240" s="3">
        <v>5500</v>
      </c>
      <c r="G240" s="3" t="s">
        <v>10</v>
      </c>
    </row>
    <row r="241" spans="1:7" x14ac:dyDescent="0.25">
      <c r="A241" s="3" t="s">
        <v>224</v>
      </c>
      <c r="B241" s="8">
        <v>210</v>
      </c>
      <c r="C241" s="3" t="s">
        <v>3</v>
      </c>
      <c r="D241" s="3">
        <v>2</v>
      </c>
      <c r="E241" s="3">
        <v>11667</v>
      </c>
      <c r="F241" s="3">
        <v>5000</v>
      </c>
      <c r="G241" s="3" t="s">
        <v>10</v>
      </c>
    </row>
    <row r="242" spans="1:7" x14ac:dyDescent="0.25">
      <c r="A242" s="3" t="s">
        <v>225</v>
      </c>
      <c r="B242" s="8">
        <v>211</v>
      </c>
      <c r="C242" s="3" t="s">
        <v>3</v>
      </c>
      <c r="D242" s="3">
        <v>4</v>
      </c>
      <c r="E242" s="3">
        <v>13533</v>
      </c>
      <c r="F242" s="3">
        <v>7000</v>
      </c>
      <c r="G242" s="3" t="s">
        <v>14</v>
      </c>
    </row>
    <row r="243" spans="1:7" x14ac:dyDescent="0.25">
      <c r="A243" s="3" t="s">
        <v>229</v>
      </c>
      <c r="B243" s="8">
        <v>215</v>
      </c>
      <c r="C243" s="3" t="s">
        <v>3</v>
      </c>
      <c r="D243" s="3">
        <v>3</v>
      </c>
      <c r="E243" s="3">
        <v>9050</v>
      </c>
      <c r="F243" s="3">
        <v>7000</v>
      </c>
      <c r="G243" s="3" t="s">
        <v>10</v>
      </c>
    </row>
    <row r="244" spans="1:7" x14ac:dyDescent="0.25">
      <c r="A244" s="3" t="s">
        <v>239</v>
      </c>
      <c r="B244" s="8">
        <v>225</v>
      </c>
      <c r="C244" s="3" t="s">
        <v>3</v>
      </c>
      <c r="D244" s="3">
        <v>6</v>
      </c>
      <c r="E244" s="3">
        <v>17787</v>
      </c>
      <c r="F244" s="3">
        <v>14000</v>
      </c>
      <c r="G244" s="3" t="s">
        <v>4</v>
      </c>
    </row>
    <row r="245" spans="1:7" x14ac:dyDescent="0.25">
      <c r="A245" s="3" t="s">
        <v>247</v>
      </c>
      <c r="B245" s="8">
        <v>233</v>
      </c>
      <c r="C245" s="3" t="s">
        <v>3</v>
      </c>
      <c r="D245" s="3">
        <v>5</v>
      </c>
      <c r="E245" s="3">
        <v>19830</v>
      </c>
      <c r="F245" s="3">
        <v>15000</v>
      </c>
      <c r="G245" s="3" t="s">
        <v>4</v>
      </c>
    </row>
    <row r="246" spans="1:7" x14ac:dyDescent="0.25">
      <c r="A246" s="3" t="s">
        <v>248</v>
      </c>
      <c r="B246" s="8">
        <v>234</v>
      </c>
      <c r="C246" s="3" t="s">
        <v>3</v>
      </c>
      <c r="D246" s="3">
        <v>3</v>
      </c>
      <c r="E246" s="3">
        <v>7725</v>
      </c>
      <c r="F246" s="3">
        <v>6500</v>
      </c>
      <c r="G246" s="3" t="s">
        <v>14</v>
      </c>
    </row>
    <row r="247" spans="1:7" x14ac:dyDescent="0.25">
      <c r="A247" s="3" t="s">
        <v>251</v>
      </c>
      <c r="B247" s="8">
        <v>237</v>
      </c>
      <c r="C247" s="3" t="s">
        <v>3</v>
      </c>
      <c r="D247" s="3">
        <v>4</v>
      </c>
      <c r="E247" s="3">
        <v>35667</v>
      </c>
      <c r="F247" s="3">
        <v>25000</v>
      </c>
      <c r="G247" s="3" t="s">
        <v>4</v>
      </c>
    </row>
    <row r="248" spans="1:7" x14ac:dyDescent="0.25">
      <c r="A248" s="3" t="s">
        <v>253</v>
      </c>
      <c r="B248" s="8">
        <v>239</v>
      </c>
      <c r="C248" s="3" t="s">
        <v>3</v>
      </c>
      <c r="D248" s="3">
        <v>2</v>
      </c>
      <c r="E248" s="3">
        <v>4424</v>
      </c>
      <c r="F248" s="3">
        <v>4250</v>
      </c>
      <c r="G248" s="3" t="s">
        <v>20</v>
      </c>
    </row>
    <row r="249" spans="1:7" x14ac:dyDescent="0.25">
      <c r="A249" s="3" t="s">
        <v>254</v>
      </c>
      <c r="B249" s="8">
        <v>240</v>
      </c>
      <c r="C249" s="3" t="s">
        <v>3</v>
      </c>
      <c r="D249" s="3">
        <v>1</v>
      </c>
      <c r="E249" s="3">
        <v>7875</v>
      </c>
      <c r="F249" s="3">
        <v>3000</v>
      </c>
      <c r="G249" s="3" t="s">
        <v>7</v>
      </c>
    </row>
    <row r="250" spans="1:7" x14ac:dyDescent="0.25">
      <c r="A250" s="3" t="s">
        <v>256</v>
      </c>
      <c r="B250" s="8">
        <v>242</v>
      </c>
      <c r="C250" s="3" t="s">
        <v>3</v>
      </c>
      <c r="D250" s="3">
        <v>2</v>
      </c>
      <c r="E250" s="3">
        <v>12608</v>
      </c>
      <c r="F250" s="3">
        <v>5200</v>
      </c>
      <c r="G250" s="3" t="s">
        <v>4</v>
      </c>
    </row>
    <row r="251" spans="1:7" x14ac:dyDescent="0.25">
      <c r="A251" s="3" t="s">
        <v>259</v>
      </c>
      <c r="B251" s="8">
        <v>245</v>
      </c>
      <c r="C251" s="3" t="s">
        <v>3</v>
      </c>
      <c r="D251" s="3">
        <v>9</v>
      </c>
      <c r="E251" s="3">
        <v>21283</v>
      </c>
      <c r="F251" s="3">
        <v>18500</v>
      </c>
      <c r="G251" s="3" t="s">
        <v>14</v>
      </c>
    </row>
    <row r="252" spans="1:7" x14ac:dyDescent="0.25">
      <c r="A252" s="3" t="s">
        <v>260</v>
      </c>
      <c r="B252" s="8">
        <v>246</v>
      </c>
      <c r="C252" s="3" t="s">
        <v>3</v>
      </c>
      <c r="D252" s="3">
        <v>2</v>
      </c>
      <c r="E252" s="3">
        <v>11885</v>
      </c>
      <c r="F252" s="3">
        <v>12000</v>
      </c>
      <c r="G252" s="3" t="s">
        <v>14</v>
      </c>
    </row>
    <row r="253" spans="1:7" x14ac:dyDescent="0.25">
      <c r="A253" s="3" t="s">
        <v>265</v>
      </c>
      <c r="B253" s="8">
        <v>251</v>
      </c>
      <c r="C253" s="3" t="s">
        <v>3</v>
      </c>
      <c r="D253" s="3">
        <v>3</v>
      </c>
      <c r="E253" s="3">
        <v>9074</v>
      </c>
      <c r="F253" s="3">
        <v>12605</v>
      </c>
      <c r="G253" s="3" t="s">
        <v>18</v>
      </c>
    </row>
    <row r="254" spans="1:7" x14ac:dyDescent="0.25">
      <c r="A254" s="3" t="s">
        <v>266</v>
      </c>
      <c r="B254" s="8">
        <v>252</v>
      </c>
      <c r="C254" s="3" t="s">
        <v>3</v>
      </c>
      <c r="D254" s="3">
        <v>6</v>
      </c>
      <c r="E254" s="3">
        <v>16242</v>
      </c>
      <c r="F254" s="3">
        <v>12600</v>
      </c>
      <c r="G254" s="3" t="s">
        <v>4</v>
      </c>
    </row>
  </sheetData>
  <sortState ref="A2:G254">
    <sortCondition ref="C2:C25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topLeftCell="A4" workbookViewId="0">
      <selection activeCell="M16" sqref="M16"/>
    </sheetView>
  </sheetViews>
  <sheetFormatPr defaultRowHeight="15" x14ac:dyDescent="0.25"/>
  <cols>
    <col min="5" max="5" width="18.42578125" customWidth="1"/>
  </cols>
  <sheetData>
    <row r="1" spans="1:10" x14ac:dyDescent="0.25">
      <c r="A1" s="10" t="s">
        <v>275</v>
      </c>
      <c r="B1" s="10" t="s">
        <v>276</v>
      </c>
    </row>
    <row r="2" spans="1:10" x14ac:dyDescent="0.25">
      <c r="A2" t="s">
        <v>285</v>
      </c>
      <c r="B2">
        <v>253</v>
      </c>
    </row>
    <row r="3" spans="1:10" x14ac:dyDescent="0.25">
      <c r="A3" t="s">
        <v>286</v>
      </c>
      <c r="B3">
        <v>25</v>
      </c>
    </row>
    <row r="4" spans="1:10" x14ac:dyDescent="0.25">
      <c r="A4" t="s">
        <v>287</v>
      </c>
      <c r="B4">
        <v>10</v>
      </c>
    </row>
    <row r="5" spans="1:10" x14ac:dyDescent="0.25">
      <c r="A5" t="s">
        <v>277</v>
      </c>
      <c r="B5">
        <v>9</v>
      </c>
    </row>
    <row r="7" spans="1:10" x14ac:dyDescent="0.25">
      <c r="A7" s="10" t="s">
        <v>323</v>
      </c>
      <c r="B7" s="10" t="s">
        <v>288</v>
      </c>
      <c r="C7" s="10" t="s">
        <v>289</v>
      </c>
      <c r="D7" s="10" t="s">
        <v>0</v>
      </c>
      <c r="E7" s="40" t="s">
        <v>316</v>
      </c>
      <c r="F7" s="10" t="s">
        <v>291</v>
      </c>
      <c r="G7" s="10" t="s">
        <v>290</v>
      </c>
      <c r="H7" s="10" t="s">
        <v>292</v>
      </c>
      <c r="I7" s="10" t="s">
        <v>293</v>
      </c>
      <c r="J7" s="10" t="s">
        <v>322</v>
      </c>
    </row>
    <row r="8" spans="1:10" x14ac:dyDescent="0.25">
      <c r="A8">
        <v>1</v>
      </c>
      <c r="B8">
        <v>9</v>
      </c>
      <c r="C8">
        <v>9</v>
      </c>
      <c r="D8" t="s">
        <v>92</v>
      </c>
      <c r="E8" s="9">
        <v>78</v>
      </c>
      <c r="F8" s="44" t="s">
        <v>13</v>
      </c>
      <c r="G8">
        <v>5</v>
      </c>
      <c r="H8">
        <v>16417</v>
      </c>
      <c r="I8">
        <v>25000</v>
      </c>
      <c r="J8" t="s">
        <v>4</v>
      </c>
    </row>
    <row r="9" spans="1:10" x14ac:dyDescent="0.25">
      <c r="A9">
        <v>2</v>
      </c>
      <c r="B9">
        <v>19</v>
      </c>
      <c r="C9">
        <v>19</v>
      </c>
      <c r="D9" t="s">
        <v>143</v>
      </c>
      <c r="E9" s="9">
        <v>129</v>
      </c>
      <c r="F9" s="44" t="s">
        <v>13</v>
      </c>
      <c r="G9">
        <v>2</v>
      </c>
      <c r="H9">
        <v>18567</v>
      </c>
      <c r="I9">
        <v>14000</v>
      </c>
      <c r="J9" t="s">
        <v>4</v>
      </c>
    </row>
    <row r="10" spans="1:10" x14ac:dyDescent="0.25">
      <c r="A10">
        <v>3</v>
      </c>
      <c r="B10">
        <v>29</v>
      </c>
      <c r="C10">
        <v>29</v>
      </c>
      <c r="D10" t="s">
        <v>192</v>
      </c>
      <c r="E10" s="9">
        <v>178</v>
      </c>
      <c r="F10" s="44" t="s">
        <v>13</v>
      </c>
      <c r="G10">
        <v>6</v>
      </c>
      <c r="H10">
        <v>23250</v>
      </c>
      <c r="I10">
        <v>30000</v>
      </c>
      <c r="J10" t="s">
        <v>45</v>
      </c>
    </row>
    <row r="11" spans="1:10" x14ac:dyDescent="0.25">
      <c r="A11">
        <v>4</v>
      </c>
      <c r="B11">
        <v>39</v>
      </c>
      <c r="C11">
        <v>39</v>
      </c>
      <c r="D11" t="s">
        <v>51</v>
      </c>
      <c r="E11" s="9">
        <v>37</v>
      </c>
      <c r="F11" s="44" t="s">
        <v>24</v>
      </c>
      <c r="G11">
        <v>4</v>
      </c>
      <c r="H11">
        <v>6833</v>
      </c>
      <c r="I11">
        <v>4000</v>
      </c>
      <c r="J11" t="s">
        <v>10</v>
      </c>
    </row>
    <row r="12" spans="1:10" x14ac:dyDescent="0.25">
      <c r="A12">
        <v>5</v>
      </c>
      <c r="B12">
        <v>49</v>
      </c>
      <c r="C12">
        <v>49</v>
      </c>
      <c r="D12" t="s">
        <v>109</v>
      </c>
      <c r="E12" s="9">
        <v>95</v>
      </c>
      <c r="F12" s="44" t="s">
        <v>24</v>
      </c>
      <c r="G12">
        <v>5</v>
      </c>
      <c r="H12">
        <v>14521</v>
      </c>
      <c r="I12">
        <v>20300</v>
      </c>
      <c r="J12" t="s">
        <v>45</v>
      </c>
    </row>
    <row r="13" spans="1:10" x14ac:dyDescent="0.25">
      <c r="A13">
        <v>6</v>
      </c>
      <c r="B13">
        <v>59</v>
      </c>
      <c r="C13">
        <v>59</v>
      </c>
      <c r="D13" t="s">
        <v>170</v>
      </c>
      <c r="E13" s="9">
        <v>156</v>
      </c>
      <c r="F13" s="44" t="s">
        <v>24</v>
      </c>
      <c r="G13">
        <v>2</v>
      </c>
      <c r="H13">
        <v>6583</v>
      </c>
      <c r="I13">
        <v>5000</v>
      </c>
      <c r="J13" t="s">
        <v>42</v>
      </c>
    </row>
    <row r="14" spans="1:10" x14ac:dyDescent="0.25">
      <c r="A14">
        <v>7</v>
      </c>
      <c r="B14">
        <v>69</v>
      </c>
      <c r="C14">
        <v>69</v>
      </c>
      <c r="D14" t="s">
        <v>216</v>
      </c>
      <c r="E14" s="9">
        <v>202</v>
      </c>
      <c r="F14" s="44" t="s">
        <v>24</v>
      </c>
      <c r="G14">
        <v>2</v>
      </c>
      <c r="H14">
        <v>6317</v>
      </c>
      <c r="I14">
        <v>7100</v>
      </c>
      <c r="J14" t="s">
        <v>14</v>
      </c>
    </row>
    <row r="15" spans="1:10" x14ac:dyDescent="0.25">
      <c r="A15">
        <v>8</v>
      </c>
      <c r="B15">
        <v>79</v>
      </c>
      <c r="C15">
        <v>79</v>
      </c>
      <c r="D15" t="s">
        <v>5</v>
      </c>
      <c r="E15" s="9">
        <v>2</v>
      </c>
      <c r="F15" s="44" t="s">
        <v>6</v>
      </c>
      <c r="G15">
        <v>1</v>
      </c>
      <c r="H15">
        <v>13889</v>
      </c>
      <c r="I15">
        <v>17800</v>
      </c>
      <c r="J15" t="s">
        <v>7</v>
      </c>
    </row>
    <row r="16" spans="1:10" x14ac:dyDescent="0.25">
      <c r="A16">
        <v>9</v>
      </c>
      <c r="B16">
        <v>89</v>
      </c>
      <c r="C16">
        <v>89</v>
      </c>
      <c r="D16" t="s">
        <v>29</v>
      </c>
      <c r="E16" s="9">
        <v>18</v>
      </c>
      <c r="F16" s="44" t="s">
        <v>6</v>
      </c>
      <c r="G16">
        <v>14</v>
      </c>
      <c r="H16">
        <v>19985</v>
      </c>
      <c r="I16">
        <v>10740</v>
      </c>
      <c r="J16" t="s">
        <v>4</v>
      </c>
    </row>
    <row r="17" spans="1:10" x14ac:dyDescent="0.25">
      <c r="A17">
        <v>10</v>
      </c>
      <c r="B17">
        <v>99</v>
      </c>
      <c r="C17">
        <v>99</v>
      </c>
      <c r="D17" t="s">
        <v>49</v>
      </c>
      <c r="E17" s="9">
        <v>35</v>
      </c>
      <c r="F17" s="44" t="s">
        <v>6</v>
      </c>
      <c r="G17">
        <v>3</v>
      </c>
      <c r="H17">
        <v>15502</v>
      </c>
      <c r="I17">
        <v>3500</v>
      </c>
      <c r="J17" t="s">
        <v>4</v>
      </c>
    </row>
    <row r="18" spans="1:10" x14ac:dyDescent="0.25">
      <c r="A18">
        <v>11</v>
      </c>
      <c r="B18">
        <v>109</v>
      </c>
      <c r="C18">
        <v>109</v>
      </c>
      <c r="D18" t="s">
        <v>73</v>
      </c>
      <c r="E18" s="9">
        <v>59</v>
      </c>
      <c r="F18" s="44" t="s">
        <v>6</v>
      </c>
      <c r="G18">
        <v>5</v>
      </c>
      <c r="H18">
        <v>12467</v>
      </c>
      <c r="I18">
        <v>7000</v>
      </c>
      <c r="J18" t="s">
        <v>14</v>
      </c>
    </row>
    <row r="19" spans="1:10" x14ac:dyDescent="0.25">
      <c r="A19">
        <v>12</v>
      </c>
      <c r="B19">
        <v>119</v>
      </c>
      <c r="C19">
        <v>119</v>
      </c>
      <c r="D19" t="s">
        <v>100</v>
      </c>
      <c r="E19" s="9">
        <v>86</v>
      </c>
      <c r="F19" s="44" t="s">
        <v>6</v>
      </c>
      <c r="G19">
        <v>1</v>
      </c>
      <c r="H19">
        <v>1457</v>
      </c>
      <c r="I19">
        <v>680</v>
      </c>
      <c r="J19" t="s">
        <v>7</v>
      </c>
    </row>
    <row r="20" spans="1:10" x14ac:dyDescent="0.25">
      <c r="A20">
        <v>13</v>
      </c>
      <c r="B20">
        <v>129</v>
      </c>
      <c r="C20">
        <v>129</v>
      </c>
      <c r="D20" t="s">
        <v>126</v>
      </c>
      <c r="E20" s="9">
        <v>112</v>
      </c>
      <c r="F20" s="44" t="s">
        <v>6</v>
      </c>
      <c r="G20">
        <v>8</v>
      </c>
      <c r="H20">
        <v>14417</v>
      </c>
      <c r="I20">
        <v>10000</v>
      </c>
      <c r="J20" t="s">
        <v>14</v>
      </c>
    </row>
    <row r="21" spans="1:10" x14ac:dyDescent="0.25">
      <c r="A21">
        <v>14</v>
      </c>
      <c r="B21">
        <v>139</v>
      </c>
      <c r="C21">
        <v>139</v>
      </c>
      <c r="D21" t="s">
        <v>152</v>
      </c>
      <c r="E21" s="9">
        <v>138</v>
      </c>
      <c r="F21" s="44" t="s">
        <v>6</v>
      </c>
      <c r="G21">
        <v>4</v>
      </c>
      <c r="H21">
        <v>6717</v>
      </c>
      <c r="I21">
        <v>3000</v>
      </c>
      <c r="J21" t="s">
        <v>45</v>
      </c>
    </row>
    <row r="22" spans="1:10" x14ac:dyDescent="0.25">
      <c r="A22">
        <v>15</v>
      </c>
      <c r="B22">
        <v>149</v>
      </c>
      <c r="C22">
        <v>149</v>
      </c>
      <c r="D22" t="s">
        <v>181</v>
      </c>
      <c r="E22" s="9">
        <v>167</v>
      </c>
      <c r="F22" s="44" t="s">
        <v>6</v>
      </c>
      <c r="G22">
        <v>5</v>
      </c>
      <c r="H22">
        <v>13048</v>
      </c>
      <c r="I22">
        <v>18300</v>
      </c>
      <c r="J22" t="s">
        <v>7</v>
      </c>
    </row>
    <row r="23" spans="1:10" x14ac:dyDescent="0.25">
      <c r="A23">
        <v>16</v>
      </c>
      <c r="B23">
        <v>159</v>
      </c>
      <c r="C23">
        <v>159</v>
      </c>
      <c r="D23" t="s">
        <v>222</v>
      </c>
      <c r="E23" s="9">
        <v>208</v>
      </c>
      <c r="F23" s="44" t="s">
        <v>6</v>
      </c>
      <c r="G23">
        <v>8</v>
      </c>
      <c r="H23">
        <v>10800</v>
      </c>
      <c r="I23">
        <v>15000</v>
      </c>
      <c r="J23" t="s">
        <v>14</v>
      </c>
    </row>
    <row r="24" spans="1:10" x14ac:dyDescent="0.25">
      <c r="A24">
        <v>17</v>
      </c>
      <c r="B24">
        <v>169</v>
      </c>
      <c r="C24">
        <v>169</v>
      </c>
      <c r="D24" t="s">
        <v>242</v>
      </c>
      <c r="E24" s="9">
        <v>228</v>
      </c>
      <c r="F24" s="44" t="s">
        <v>6</v>
      </c>
      <c r="G24">
        <v>5</v>
      </c>
      <c r="H24">
        <v>19558</v>
      </c>
      <c r="I24">
        <v>8500</v>
      </c>
      <c r="J24" t="s">
        <v>4</v>
      </c>
    </row>
    <row r="25" spans="1:10" x14ac:dyDescent="0.25">
      <c r="A25">
        <v>18</v>
      </c>
      <c r="B25">
        <v>179</v>
      </c>
      <c r="C25">
        <v>179</v>
      </c>
      <c r="D25" t="s">
        <v>2</v>
      </c>
      <c r="E25" s="9">
        <v>1</v>
      </c>
      <c r="F25" s="44" t="s">
        <v>3</v>
      </c>
      <c r="G25">
        <v>1</v>
      </c>
      <c r="H25">
        <v>6721</v>
      </c>
      <c r="I25">
        <v>20000</v>
      </c>
      <c r="J25" t="s">
        <v>4</v>
      </c>
    </row>
    <row r="26" spans="1:10" x14ac:dyDescent="0.25">
      <c r="A26">
        <v>19</v>
      </c>
      <c r="B26">
        <v>189</v>
      </c>
      <c r="C26">
        <v>189</v>
      </c>
      <c r="D26" t="s">
        <v>61</v>
      </c>
      <c r="E26" s="9">
        <v>47</v>
      </c>
      <c r="F26" s="44" t="s">
        <v>3</v>
      </c>
      <c r="G26">
        <v>2</v>
      </c>
      <c r="H26">
        <v>5000</v>
      </c>
      <c r="I26">
        <v>5000</v>
      </c>
      <c r="J26" t="s">
        <v>20</v>
      </c>
    </row>
    <row r="27" spans="1:10" x14ac:dyDescent="0.25">
      <c r="A27">
        <v>20</v>
      </c>
      <c r="B27">
        <v>199</v>
      </c>
      <c r="C27">
        <v>199</v>
      </c>
      <c r="D27" t="s">
        <v>98</v>
      </c>
      <c r="E27" s="9">
        <v>84</v>
      </c>
      <c r="F27" s="44" t="s">
        <v>3</v>
      </c>
      <c r="G27">
        <v>7</v>
      </c>
      <c r="H27">
        <v>18500</v>
      </c>
      <c r="I27">
        <v>12000</v>
      </c>
      <c r="J27" t="s">
        <v>10</v>
      </c>
    </row>
    <row r="28" spans="1:10" x14ac:dyDescent="0.25">
      <c r="A28">
        <v>21</v>
      </c>
      <c r="B28">
        <v>209</v>
      </c>
      <c r="C28">
        <v>209</v>
      </c>
      <c r="D28" t="s">
        <v>132</v>
      </c>
      <c r="E28" s="9">
        <v>118</v>
      </c>
      <c r="F28" s="44" t="s">
        <v>3</v>
      </c>
      <c r="G28">
        <v>5</v>
      </c>
      <c r="H28">
        <v>16667</v>
      </c>
      <c r="I28">
        <v>8500</v>
      </c>
      <c r="J28" t="s">
        <v>7</v>
      </c>
    </row>
    <row r="29" spans="1:10" x14ac:dyDescent="0.25">
      <c r="A29">
        <v>22</v>
      </c>
      <c r="B29">
        <v>219</v>
      </c>
      <c r="C29">
        <v>219</v>
      </c>
      <c r="D29" t="s">
        <v>168</v>
      </c>
      <c r="E29" s="9">
        <v>154</v>
      </c>
      <c r="F29" s="44" t="s">
        <v>3</v>
      </c>
      <c r="G29">
        <v>3</v>
      </c>
      <c r="H29">
        <v>18383</v>
      </c>
      <c r="I29">
        <v>17000</v>
      </c>
      <c r="J29" t="s">
        <v>45</v>
      </c>
    </row>
    <row r="30" spans="1:10" x14ac:dyDescent="0.25">
      <c r="A30">
        <v>23</v>
      </c>
      <c r="B30">
        <v>229</v>
      </c>
      <c r="C30">
        <v>229</v>
      </c>
      <c r="D30" t="s">
        <v>195</v>
      </c>
      <c r="E30" s="9">
        <v>181</v>
      </c>
      <c r="F30" s="44" t="s">
        <v>3</v>
      </c>
      <c r="G30">
        <v>4</v>
      </c>
      <c r="H30">
        <v>7867</v>
      </c>
      <c r="I30">
        <v>12000</v>
      </c>
      <c r="J30" t="s">
        <v>10</v>
      </c>
    </row>
    <row r="31" spans="1:10" x14ac:dyDescent="0.25">
      <c r="A31">
        <v>24</v>
      </c>
      <c r="B31">
        <v>239</v>
      </c>
      <c r="C31">
        <v>239</v>
      </c>
      <c r="D31" t="s">
        <v>215</v>
      </c>
      <c r="E31" s="9">
        <v>201</v>
      </c>
      <c r="F31" s="44" t="s">
        <v>3</v>
      </c>
      <c r="G31">
        <v>1</v>
      </c>
      <c r="H31">
        <v>15667</v>
      </c>
      <c r="I31">
        <v>5500</v>
      </c>
      <c r="J31" t="s">
        <v>10</v>
      </c>
    </row>
    <row r="32" spans="1:10" x14ac:dyDescent="0.25">
      <c r="A32">
        <v>25</v>
      </c>
      <c r="B32">
        <v>249</v>
      </c>
      <c r="C32">
        <v>249</v>
      </c>
      <c r="D32" t="s">
        <v>256</v>
      </c>
      <c r="E32" s="9">
        <v>242</v>
      </c>
      <c r="F32" s="44" t="s">
        <v>3</v>
      </c>
      <c r="G32">
        <v>2</v>
      </c>
      <c r="H32">
        <v>12608</v>
      </c>
      <c r="I32">
        <v>5200</v>
      </c>
      <c r="J32" t="s">
        <v>4</v>
      </c>
    </row>
    <row r="34" spans="6:11" x14ac:dyDescent="0.25">
      <c r="F34" s="17" t="s">
        <v>324</v>
      </c>
      <c r="G34">
        <v>253</v>
      </c>
    </row>
    <row r="35" spans="6:11" x14ac:dyDescent="0.25">
      <c r="F35" s="17" t="s">
        <v>325</v>
      </c>
      <c r="G35">
        <v>25</v>
      </c>
    </row>
    <row r="36" spans="6:11" x14ac:dyDescent="0.25">
      <c r="F36" s="23" t="s">
        <v>334</v>
      </c>
    </row>
    <row r="37" spans="6:11" ht="60" x14ac:dyDescent="0.25">
      <c r="F37" s="24" t="s">
        <v>327</v>
      </c>
      <c r="G37" s="24" t="s">
        <v>332</v>
      </c>
      <c r="H37" s="24" t="s">
        <v>328</v>
      </c>
      <c r="I37" s="24" t="s">
        <v>330</v>
      </c>
      <c r="J37" s="24" t="s">
        <v>329</v>
      </c>
      <c r="K37" s="24" t="s">
        <v>331</v>
      </c>
    </row>
    <row r="38" spans="6:11" x14ac:dyDescent="0.25">
      <c r="F38">
        <f>SUM(G8:G32)*G34/G35</f>
        <v>1062.5999999999999</v>
      </c>
      <c r="G38">
        <f>SUM(G8:G32)/G35</f>
        <v>4.2</v>
      </c>
      <c r="H38" s="16">
        <f>SUM(H8:H32)/G35</f>
        <v>12869.64</v>
      </c>
      <c r="I38" s="16">
        <f>SUM(H8:H32) / SUM(G8:G32)</f>
        <v>3064.2</v>
      </c>
      <c r="J38" s="16">
        <f>SUM(I8:I32)/SUM(G8:G32)</f>
        <v>2715.4285714285716</v>
      </c>
      <c r="K38">
        <f>COUNTIF(F8:F32,1)/25</f>
        <v>0.12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Popu_data</vt:lpstr>
      <vt:lpstr>About the data</vt:lpstr>
      <vt:lpstr>Exercise</vt:lpstr>
      <vt:lpstr>SRSWR</vt:lpstr>
      <vt:lpstr>Rand_no__SRSWOR</vt:lpstr>
      <vt:lpstr>SRSWOR</vt:lpstr>
      <vt:lpstr>Lin_Sys</vt:lpstr>
      <vt:lpstr>Cir_Sys</vt:lpstr>
      <vt:lpstr>Stratum_info</vt:lpstr>
      <vt:lpstr>Exp_Stratified</vt:lpstr>
      <vt:lpstr>sortedby_social_group</vt:lpstr>
      <vt:lpstr>Imp_Stratification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DAS</dc:creator>
  <cp:lastModifiedBy>SOSU</cp:lastModifiedBy>
  <dcterms:created xsi:type="dcterms:W3CDTF">2025-10-23T12:19:00Z</dcterms:created>
  <dcterms:modified xsi:type="dcterms:W3CDTF">2025-11-04T13:36:47Z</dcterms:modified>
</cp:coreProperties>
</file>